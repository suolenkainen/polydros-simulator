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https://d.docs.live.net/a53a4b7d891bd24d/Documents/Polydros/"/>
    </mc:Choice>
  </mc:AlternateContent>
  <xr:revisionPtr revIDLastSave="0" documentId="8_{211031DC-AEC7-4AD7-A381-1C88976DBC08}" xr6:coauthVersionLast="47" xr6:coauthVersionMax="47" xr10:uidLastSave="{00000000-0000-0000-0000-000000000000}"/>
  <bookViews>
    <workbookView xWindow="45972" yWindow="6600" windowWidth="23256" windowHeight="13896" xr2:uid="{00000000-000D-0000-FFFF-FFFF00000000}"/>
  </bookViews>
  <sheets>
    <sheet name="Master Set v1" sheetId="1" r:id="rId1"/>
    <sheet name="Probabilities" sheetId="2" r:id="rId2"/>
    <sheet name="Artist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22" i="1" l="1"/>
  <c r="P100" i="1"/>
  <c r="P99" i="1"/>
  <c r="P80" i="1"/>
  <c r="P79" i="1"/>
  <c r="P60" i="1"/>
  <c r="P59" i="1"/>
  <c r="P40" i="1"/>
  <c r="P39" i="1"/>
  <c r="P21" i="1"/>
  <c r="P20" i="1"/>
  <c r="O122" i="1"/>
  <c r="N121" i="1"/>
  <c r="N2" i="1"/>
  <c r="O2" i="1"/>
  <c r="N3" i="1"/>
  <c r="O3" i="1"/>
  <c r="N4" i="1"/>
  <c r="O4" i="1"/>
  <c r="N5" i="1"/>
  <c r="O5" i="1"/>
  <c r="N6" i="1"/>
  <c r="O6" i="1"/>
  <c r="N7" i="1"/>
  <c r="O7" i="1"/>
  <c r="N8" i="1"/>
  <c r="O8" i="1"/>
  <c r="N9" i="1"/>
  <c r="O9" i="1"/>
  <c r="N10" i="1"/>
  <c r="O10" i="1"/>
  <c r="N11" i="1"/>
  <c r="O11" i="1"/>
  <c r="N12" i="1"/>
  <c r="O12" i="1"/>
  <c r="N13" i="1"/>
  <c r="O13" i="1"/>
  <c r="N14" i="1"/>
  <c r="O14" i="1"/>
  <c r="N15" i="1"/>
  <c r="O15" i="1"/>
  <c r="N16" i="1"/>
  <c r="O16" i="1"/>
  <c r="N17" i="1"/>
  <c r="O17" i="1"/>
  <c r="N18" i="1"/>
  <c r="O18" i="1"/>
  <c r="N19" i="1"/>
  <c r="O19" i="1"/>
  <c r="N20" i="1"/>
  <c r="O20" i="1"/>
  <c r="N21" i="1"/>
  <c r="O21" i="1"/>
  <c r="N22" i="1"/>
  <c r="O22" i="1"/>
  <c r="N23" i="1"/>
  <c r="O23" i="1"/>
  <c r="N24" i="1"/>
  <c r="O24" i="1"/>
  <c r="N25" i="1"/>
  <c r="O25" i="1"/>
  <c r="N26" i="1"/>
  <c r="O26" i="1"/>
  <c r="N27" i="1"/>
  <c r="O27" i="1"/>
  <c r="N28" i="1"/>
  <c r="O28" i="1"/>
  <c r="N29" i="1"/>
  <c r="O29" i="1"/>
  <c r="N30" i="1"/>
  <c r="O30" i="1"/>
  <c r="N31" i="1"/>
  <c r="O31" i="1"/>
  <c r="N32" i="1"/>
  <c r="O32" i="1"/>
  <c r="N33" i="1"/>
  <c r="O33" i="1"/>
  <c r="N34" i="1"/>
  <c r="O34" i="1"/>
  <c r="N35" i="1"/>
  <c r="O35" i="1"/>
  <c r="N36" i="1"/>
  <c r="O36" i="1"/>
  <c r="N37" i="1"/>
  <c r="O37" i="1"/>
  <c r="N38" i="1"/>
  <c r="O38" i="1"/>
  <c r="N39" i="1"/>
  <c r="O39" i="1"/>
  <c r="N40" i="1"/>
  <c r="O40" i="1"/>
  <c r="N41" i="1"/>
  <c r="O41" i="1"/>
  <c r="N42" i="1"/>
  <c r="O42" i="1"/>
  <c r="N43" i="1"/>
  <c r="O43" i="1"/>
  <c r="N44" i="1"/>
  <c r="O44" i="1"/>
  <c r="N45" i="1"/>
  <c r="O45" i="1"/>
  <c r="N46" i="1"/>
  <c r="O46" i="1"/>
  <c r="N47" i="1"/>
  <c r="O47" i="1"/>
  <c r="N48" i="1"/>
  <c r="O48" i="1"/>
  <c r="N49" i="1"/>
  <c r="O49" i="1"/>
  <c r="N50" i="1"/>
  <c r="O50" i="1"/>
  <c r="N51" i="1"/>
  <c r="O51" i="1"/>
  <c r="N52" i="1"/>
  <c r="O52" i="1"/>
  <c r="N53" i="1"/>
  <c r="O53" i="1"/>
  <c r="N54" i="1"/>
  <c r="O54" i="1"/>
  <c r="N55" i="1"/>
  <c r="O55" i="1"/>
  <c r="N56" i="1"/>
  <c r="O56" i="1"/>
  <c r="N57" i="1"/>
  <c r="O57" i="1"/>
  <c r="N58" i="1"/>
  <c r="O58" i="1"/>
  <c r="N59" i="1"/>
  <c r="O59" i="1"/>
  <c r="N60" i="1"/>
  <c r="O60" i="1"/>
  <c r="N61" i="1"/>
  <c r="O61" i="1"/>
  <c r="N62" i="1"/>
  <c r="O62" i="1"/>
  <c r="N63" i="1"/>
  <c r="O63" i="1"/>
  <c r="N64" i="1"/>
  <c r="O64" i="1"/>
  <c r="N65" i="1"/>
  <c r="O65" i="1"/>
  <c r="N66" i="1"/>
  <c r="O66" i="1"/>
  <c r="N67" i="1"/>
  <c r="O67" i="1"/>
  <c r="N68" i="1"/>
  <c r="O68" i="1"/>
  <c r="N69" i="1"/>
  <c r="O69" i="1"/>
  <c r="N70" i="1"/>
  <c r="O70" i="1"/>
  <c r="N71" i="1"/>
  <c r="O71" i="1"/>
  <c r="N72" i="1"/>
  <c r="O72" i="1"/>
  <c r="N73" i="1"/>
  <c r="O73" i="1"/>
  <c r="N74" i="1"/>
  <c r="O74" i="1"/>
  <c r="N75" i="1"/>
  <c r="O75" i="1"/>
  <c r="N76" i="1"/>
  <c r="O76" i="1"/>
  <c r="N77" i="1"/>
  <c r="O77" i="1"/>
  <c r="N78" i="1"/>
  <c r="O78" i="1"/>
  <c r="N79" i="1"/>
  <c r="O79" i="1"/>
  <c r="N80" i="1"/>
  <c r="O80" i="1"/>
  <c r="N81" i="1"/>
  <c r="O81" i="1"/>
  <c r="N82" i="1"/>
  <c r="O82" i="1"/>
  <c r="N83" i="1"/>
  <c r="O83" i="1"/>
  <c r="N84" i="1"/>
  <c r="O84" i="1"/>
  <c r="N85" i="1"/>
  <c r="O85" i="1"/>
  <c r="N86" i="1"/>
  <c r="O86" i="1"/>
  <c r="N87" i="1"/>
  <c r="O87" i="1"/>
  <c r="N88" i="1"/>
  <c r="O88" i="1"/>
  <c r="N89" i="1"/>
  <c r="O89" i="1"/>
  <c r="N90" i="1"/>
  <c r="O90" i="1"/>
  <c r="N91" i="1"/>
  <c r="O91" i="1"/>
  <c r="N92" i="1"/>
  <c r="O92" i="1"/>
  <c r="N93" i="1"/>
  <c r="O93" i="1"/>
  <c r="N94" i="1"/>
  <c r="O94" i="1"/>
  <c r="N95" i="1"/>
  <c r="O95" i="1"/>
  <c r="N96" i="1"/>
  <c r="O96" i="1"/>
  <c r="N97" i="1"/>
  <c r="O97" i="1"/>
  <c r="N98" i="1"/>
  <c r="O98" i="1"/>
  <c r="N99" i="1"/>
  <c r="O99" i="1"/>
  <c r="N100" i="1"/>
  <c r="O100" i="1"/>
  <c r="N101" i="1"/>
  <c r="O101" i="1"/>
  <c r="N102" i="1"/>
  <c r="O102" i="1"/>
  <c r="N103" i="1"/>
  <c r="O103" i="1"/>
  <c r="N104" i="1"/>
  <c r="O104" i="1"/>
  <c r="N105" i="1"/>
  <c r="O105" i="1"/>
  <c r="N106" i="1"/>
  <c r="O106" i="1"/>
  <c r="N107" i="1"/>
  <c r="O107" i="1"/>
  <c r="N108" i="1"/>
  <c r="O108" i="1"/>
  <c r="N109" i="1"/>
  <c r="O109" i="1"/>
  <c r="N110" i="1"/>
  <c r="O110" i="1"/>
  <c r="N111" i="1"/>
  <c r="O111" i="1"/>
  <c r="N112" i="1"/>
  <c r="O112" i="1"/>
  <c r="N113" i="1"/>
  <c r="O113" i="1"/>
  <c r="N114" i="1"/>
  <c r="O114" i="1"/>
  <c r="N115" i="1"/>
  <c r="O115" i="1"/>
  <c r="N116" i="1"/>
  <c r="O116" i="1"/>
  <c r="N117" i="1"/>
  <c r="O117" i="1"/>
  <c r="N118" i="1"/>
  <c r="O118" i="1"/>
  <c r="N119" i="1"/>
  <c r="O119" i="1"/>
  <c r="N120" i="1"/>
  <c r="O120" i="1"/>
  <c r="O121"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N122" i="1" l="1"/>
</calcChain>
</file>

<file path=xl/sharedStrings.xml><?xml version="1.0" encoding="utf-8"?>
<sst xmlns="http://schemas.openxmlformats.org/spreadsheetml/2006/main" count="1248" uniqueCount="414">
  <si>
    <t>#</t>
  </si>
  <si>
    <t>Name</t>
  </si>
  <si>
    <t>Color/Faction</t>
  </si>
  <si>
    <t>Type</t>
  </si>
  <si>
    <t>Rarity</t>
  </si>
  <si>
    <t>Gem Colored</t>
  </si>
  <si>
    <t>Gem Colorless</t>
  </si>
  <si>
    <t>Total Cost</t>
  </si>
  <si>
    <t>Power</t>
  </si>
  <si>
    <t>Health</t>
  </si>
  <si>
    <t>Notes</t>
  </si>
  <si>
    <t>Per-Pack Appearance %</t>
  </si>
  <si>
    <t>C001</t>
  </si>
  <si>
    <t>C002</t>
  </si>
  <si>
    <t>C003</t>
  </si>
  <si>
    <t>C004</t>
  </si>
  <si>
    <t>C005</t>
  </si>
  <si>
    <t>U006</t>
  </si>
  <si>
    <t>U007</t>
  </si>
  <si>
    <t>U008</t>
  </si>
  <si>
    <t>U009</t>
  </si>
  <si>
    <t>U010</t>
  </si>
  <si>
    <t>R011</t>
  </si>
  <si>
    <t>R012</t>
  </si>
  <si>
    <t>R013</t>
  </si>
  <si>
    <t>R014</t>
  </si>
  <si>
    <t>R015</t>
  </si>
  <si>
    <t>M016</t>
  </si>
  <si>
    <t>M017</t>
  </si>
  <si>
    <t>M018</t>
  </si>
  <si>
    <t>P019</t>
  </si>
  <si>
    <t>P020</t>
  </si>
  <si>
    <t>C021</t>
  </si>
  <si>
    <t>C022</t>
  </si>
  <si>
    <t>C023</t>
  </si>
  <si>
    <t>C024</t>
  </si>
  <si>
    <t>C025</t>
  </si>
  <si>
    <t>U026</t>
  </si>
  <si>
    <t>U027</t>
  </si>
  <si>
    <t>U028</t>
  </si>
  <si>
    <t>U029</t>
  </si>
  <si>
    <t>U030</t>
  </si>
  <si>
    <t>R031</t>
  </si>
  <si>
    <t>R032</t>
  </si>
  <si>
    <t>R033</t>
  </si>
  <si>
    <t>R034</t>
  </si>
  <si>
    <t>M035</t>
  </si>
  <si>
    <t>M036</t>
  </si>
  <si>
    <t>M037</t>
  </si>
  <si>
    <t>P038</t>
  </si>
  <si>
    <t>P039</t>
  </si>
  <si>
    <t>C040</t>
  </si>
  <si>
    <t>C041</t>
  </si>
  <si>
    <t>C042</t>
  </si>
  <si>
    <t>C043</t>
  </si>
  <si>
    <t>C044</t>
  </si>
  <si>
    <t>U045</t>
  </si>
  <si>
    <t>U046</t>
  </si>
  <si>
    <t>U047</t>
  </si>
  <si>
    <t>U048</t>
  </si>
  <si>
    <t>U049</t>
  </si>
  <si>
    <t>R050</t>
  </si>
  <si>
    <t>R051</t>
  </si>
  <si>
    <t>R052</t>
  </si>
  <si>
    <t>R053</t>
  </si>
  <si>
    <t>R054</t>
  </si>
  <si>
    <t>M055</t>
  </si>
  <si>
    <t>M056</t>
  </si>
  <si>
    <t>M057</t>
  </si>
  <si>
    <t>P058</t>
  </si>
  <si>
    <t>P059</t>
  </si>
  <si>
    <t>C060</t>
  </si>
  <si>
    <t>C061</t>
  </si>
  <si>
    <t>C062</t>
  </si>
  <si>
    <t>C063</t>
  </si>
  <si>
    <t>C064</t>
  </si>
  <si>
    <t>U065</t>
  </si>
  <si>
    <t>U066</t>
  </si>
  <si>
    <t>U067</t>
  </si>
  <si>
    <t>U068</t>
  </si>
  <si>
    <t>U069</t>
  </si>
  <si>
    <t>R070</t>
  </si>
  <si>
    <t>R071</t>
  </si>
  <si>
    <t>R072</t>
  </si>
  <si>
    <t>R073</t>
  </si>
  <si>
    <t>R074</t>
  </si>
  <si>
    <t>M075</t>
  </si>
  <si>
    <t>M076</t>
  </si>
  <si>
    <t>M077</t>
  </si>
  <si>
    <t>P078</t>
  </si>
  <si>
    <t>P079</t>
  </si>
  <si>
    <t>C080</t>
  </si>
  <si>
    <t>C081</t>
  </si>
  <si>
    <t>C082</t>
  </si>
  <si>
    <t>C083</t>
  </si>
  <si>
    <t>C084</t>
  </si>
  <si>
    <t>U085</t>
  </si>
  <si>
    <t>U086</t>
  </si>
  <si>
    <t>U087</t>
  </si>
  <si>
    <t>U088</t>
  </si>
  <si>
    <t>U089</t>
  </si>
  <si>
    <t>R090</t>
  </si>
  <si>
    <t>R091</t>
  </si>
  <si>
    <t>R092</t>
  </si>
  <si>
    <t>R093</t>
  </si>
  <si>
    <t>R094</t>
  </si>
  <si>
    <t>M095</t>
  </si>
  <si>
    <t>M096</t>
  </si>
  <si>
    <t>M097</t>
  </si>
  <si>
    <t>P098</t>
  </si>
  <si>
    <t>P099</t>
  </si>
  <si>
    <t>C100</t>
  </si>
  <si>
    <t>C101</t>
  </si>
  <si>
    <t>C102</t>
  </si>
  <si>
    <t>U103</t>
  </si>
  <si>
    <t>U104</t>
  </si>
  <si>
    <t>U105</t>
  </si>
  <si>
    <t>R106</t>
  </si>
  <si>
    <t>R107</t>
  </si>
  <si>
    <t>R108</t>
  </si>
  <si>
    <t>M109</t>
  </si>
  <si>
    <t>M110</t>
  </si>
  <si>
    <t>M111</t>
  </si>
  <si>
    <t>M112</t>
  </si>
  <si>
    <t>A113</t>
  </si>
  <si>
    <t>A114</t>
  </si>
  <si>
    <t>A115</t>
  </si>
  <si>
    <t>A116</t>
  </si>
  <si>
    <t>A117</t>
  </si>
  <si>
    <t>A118</t>
  </si>
  <si>
    <t>A119</t>
  </si>
  <si>
    <t>A120</t>
  </si>
  <si>
    <t>Ashmarch Footsoldier</t>
  </si>
  <si>
    <t>Moltenback Drake</t>
  </si>
  <si>
    <t>Cindermane Lion</t>
  </si>
  <si>
    <t>Drumfire Strike</t>
  </si>
  <si>
    <t>Forge Pulse</t>
  </si>
  <si>
    <t>Forge Choir Captain</t>
  </si>
  <si>
    <t>Blazetongue Bard</t>
  </si>
  <si>
    <t>Brassclad Duelist</t>
  </si>
  <si>
    <t>Blazing Crescendo</t>
  </si>
  <si>
    <t>Ash Vein Quarry</t>
  </si>
  <si>
    <t>Vulcanic Harbinger</t>
  </si>
  <si>
    <t>Forge Golem Mk.IV</t>
  </si>
  <si>
    <t>Symphony of Sparks</t>
  </si>
  <si>
    <t>Heartforge Tunnel</t>
  </si>
  <si>
    <t>Varetha Ironvoice, Doom Drummer</t>
  </si>
  <si>
    <t>Song of the Mountain Forge</t>
  </si>
  <si>
    <t>Ramdelom’s Heart-Titan</t>
  </si>
  <si>
    <t>Ramdelom’s Core</t>
  </si>
  <si>
    <t>Ruby Miner</t>
  </si>
  <si>
    <t>Ruby Stalwart</t>
  </si>
  <si>
    <t>Mirrorfin Scout</t>
  </si>
  <si>
    <t>Glasswing Diver</t>
  </si>
  <si>
    <t>Refractor Owl</t>
  </si>
  <si>
    <t>Counterwave</t>
  </si>
  <si>
    <t>Echo Vision</t>
  </si>
  <si>
    <t>Scholar of Whessa</t>
  </si>
  <si>
    <t>Illusionist Adept</t>
  </si>
  <si>
    <t>Crystal Navigator</t>
  </si>
  <si>
    <t>Fractal Mirage</t>
  </si>
  <si>
    <t>Blue Vein Lab</t>
  </si>
  <si>
    <t>Reflection Serpent</t>
  </si>
  <si>
    <t>Deep Equation</t>
  </si>
  <si>
    <t>Mirror Reef</t>
  </si>
  <si>
    <t>Archon Lirane Voss, Reflector Prime</t>
  </si>
  <si>
    <t>Aether Whale</t>
  </si>
  <si>
    <t>Whessa’s Reflection</t>
  </si>
  <si>
    <t>Whessa’s Core Spiral</t>
  </si>
  <si>
    <t>Sapphire Diver</t>
  </si>
  <si>
    <t>Mirror Architect</t>
  </si>
  <si>
    <t>Leafrunner Scout</t>
  </si>
  <si>
    <t>Tonebird Flock</t>
  </si>
  <si>
    <t>Mosswolf Pup</t>
  </si>
  <si>
    <t>Grow Pulse</t>
  </si>
  <si>
    <t>Song of Renewal</t>
  </si>
  <si>
    <t>Vine Harpist</t>
  </si>
  <si>
    <t>Verdant Shaman</t>
  </si>
  <si>
    <t>Chordvine Panther</t>
  </si>
  <si>
    <t>Lifeweaver’s Tune</t>
  </si>
  <si>
    <t>Rootspire Garden</t>
  </si>
  <si>
    <t>Bloom Stag</t>
  </si>
  <si>
    <t>Root Sentinel</t>
  </si>
  <si>
    <t>Overgrow</t>
  </si>
  <si>
    <t>Heartbloom Crater</t>
  </si>
  <si>
    <t>Bessalynn, Tiravel’s Flutist</t>
  </si>
  <si>
    <t>Verdant Colossus</t>
  </si>
  <si>
    <t>Tiravel’s Harmony</t>
  </si>
  <si>
    <t>Tiravel’s Heartroot</t>
  </si>
  <si>
    <t>Emerald Forager</t>
  </si>
  <si>
    <t>Heartlistener Monk</t>
  </si>
  <si>
    <t>Grave Acolyte</t>
  </si>
  <si>
    <t>Echo Moth Swarm</t>
  </si>
  <si>
    <t>Shadow Rat</t>
  </si>
  <si>
    <t>Funeral Toll</t>
  </si>
  <si>
    <t>Dark Reprise</t>
  </si>
  <si>
    <t>Crypt Sentinel</t>
  </si>
  <si>
    <t>Soul Lantern Warden</t>
  </si>
  <si>
    <t>Bell of Remembrance</t>
  </si>
  <si>
    <t>Obsidian Vein</t>
  </si>
  <si>
    <t>Grave Siren</t>
  </si>
  <si>
    <t>Bellframe Guardian</t>
  </si>
  <si>
    <t>Silence the Pulse</t>
  </si>
  <si>
    <t>Black Bell Cavern</t>
  </si>
  <si>
    <t>Bellkeeper Nahl, Hollow Monk</t>
  </si>
  <si>
    <t>The Pale Regent</t>
  </si>
  <si>
    <t>Dirge of N’kurath</t>
  </si>
  <si>
    <t>Echo Core Depths</t>
  </si>
  <si>
    <t>Onyx Supplicant</t>
  </si>
  <si>
    <t>Gravetone Acolyte</t>
  </si>
  <si>
    <t>Moon Raven</t>
  </si>
  <si>
    <t>Dreamheart Fawn</t>
  </si>
  <si>
    <t>Echo Spirit</t>
  </si>
  <si>
    <t>Lullaby Veil</t>
  </si>
  <si>
    <t>Mind Echo</t>
  </si>
  <si>
    <t>Mindpetal Mystic</t>
  </si>
  <si>
    <t>Dreamsinger Monk</t>
  </si>
  <si>
    <t>Lucid Seer</t>
  </si>
  <si>
    <t>Dream Refrain</t>
  </si>
  <si>
    <t>Amethyst Riftpool</t>
  </si>
  <si>
    <t>Aurora Serpent</t>
  </si>
  <si>
    <t>Dream Sentinel</t>
  </si>
  <si>
    <t>Moonlight Chorus</t>
  </si>
  <si>
    <t>Aurora Well</t>
  </si>
  <si>
    <t>Mother Iryl, Voice Between Realms</t>
  </si>
  <si>
    <t>Lytheran Dreamwalker</t>
  </si>
  <si>
    <t>Lythera’s Awakening</t>
  </si>
  <si>
    <t>Lytheran Nexus</t>
  </si>
  <si>
    <t>Amethyst Dreamer</t>
  </si>
  <si>
    <t>Lytheran Prophet</t>
  </si>
  <si>
    <t>Crystal Nomad</t>
  </si>
  <si>
    <t>Resonance Surge</t>
  </si>
  <si>
    <t>Alloyed Guardian</t>
  </si>
  <si>
    <t>Dualflame Beast</t>
  </si>
  <si>
    <t>Prismatic Flux</t>
  </si>
  <si>
    <t>Prism Knight</t>
  </si>
  <si>
    <t>Fifth Song Fragment</t>
  </si>
  <si>
    <t>Aurora Titan</t>
  </si>
  <si>
    <t>Call of the Sixth Song</t>
  </si>
  <si>
    <t>Prism Warden</t>
  </si>
  <si>
    <t>Harmonic Rift Core</t>
  </si>
  <si>
    <t>Varetha Ironvoice (Alt)</t>
  </si>
  <si>
    <t>Archon Voss (Alt)</t>
  </si>
  <si>
    <t>Bessalynn (Alt)</t>
  </si>
  <si>
    <t>Bellkeeper Nahl (Alt)</t>
  </si>
  <si>
    <t>Mother Iryl (Alt)</t>
  </si>
  <si>
    <t>Aurora Titan (Alt)</t>
  </si>
  <si>
    <t>Ramdelom’s Heart-Titan (Alt)</t>
  </si>
  <si>
    <t>Lytheran Dreamwalker (Alt)</t>
  </si>
  <si>
    <t>Ruby</t>
  </si>
  <si>
    <t>Sapphire</t>
  </si>
  <si>
    <t>Emerald</t>
  </si>
  <si>
    <t>Onyx</t>
  </si>
  <si>
    <t>Amethyst</t>
  </si>
  <si>
    <t>Prism</t>
  </si>
  <si>
    <t>Creature</t>
  </si>
  <si>
    <t>Spell</t>
  </si>
  <si>
    <t>Mine</t>
  </si>
  <si>
    <t>Golem</t>
  </si>
  <si>
    <t>Character</t>
  </si>
  <si>
    <t>Player</t>
  </si>
  <si>
    <t>C</t>
  </si>
  <si>
    <t>U</t>
  </si>
  <si>
    <t>R</t>
  </si>
  <si>
    <t>M</t>
  </si>
  <si>
    <t>P</t>
  </si>
  <si>
    <t>A</t>
  </si>
  <si>
    <t>Hybrid placeholder</t>
  </si>
  <si>
    <t>Alt art</t>
  </si>
  <si>
    <t>Full art</t>
  </si>
  <si>
    <t>Assumption</t>
  </si>
  <si>
    <t>Per-Pack Chance</t>
  </si>
  <si>
    <t>Commons</t>
  </si>
  <si>
    <t>Uncommons</t>
  </si>
  <si>
    <t>Rares</t>
  </si>
  <si>
    <t>Mythics</t>
  </si>
  <si>
    <t>Player/Crystal</t>
  </si>
  <si>
    <t>Alt Overlay</t>
  </si>
  <si>
    <t>18.37% per specific common</t>
  </si>
  <si>
    <t>11.53% per specific uncommon</t>
  </si>
  <si>
    <t>4.38% per specific rare</t>
  </si>
  <si>
    <t>1.04% per specific mythic</t>
  </si>
  <si>
    <t>10.0% per specific player/crystal</t>
  </si>
  <si>
    <t>0.62% per specific alt (overlay)</t>
  </si>
  <si>
    <t>7 common slots / 35 commons</t>
  </si>
  <si>
    <t>3 uncommon slots / 25 uncommons</t>
  </si>
  <si>
    <t>Feature slot 7/8 chance Rare across 20 rares</t>
  </si>
  <si>
    <t>Feature slot 1/8 chance Mythic across 12 mythics</t>
  </si>
  <si>
    <t>1 player slot / 10 cards</t>
  </si>
  <si>
    <t>1 in 20 packs overlay; 8 total alts</t>
  </si>
  <si>
    <t>Holo %</t>
  </si>
  <si>
    <t>Armored soldier charging through glowing ash field, ruby crystals embedded in armor, smoke curls, red-orange sky, motion blur, heroic anime angle.</t>
  </si>
  <si>
    <t>Small molten dragon soaring above lava rivers, ember wings trail sparks, glowing eyes, intense heat haze, dynamic mid-flight, anime-style energy arcs.</t>
  </si>
  <si>
    <t>Fiery lion roaring, mane of burning ribbons, standing on cracked obsidian, molten glow under paws, wide cinematic lens flare, warm palette.</t>
  </si>
  <si>
    <t>Explosive impact mid-battle, ruby magic pulse shaped like drums, molten particles scatter, enemy silhouette thrown back, glowing rhythm rings.</t>
  </si>
  <si>
    <t>Red energy wave from blacksmith hammer, shockwave distorting air, glowing furnace in background, heroic light streaks, fluid anime motion.</t>
  </si>
  <si>
    <t>Dwarven conductor leading rhythmic golems, hammers striking anvils in sync, molten sparks everywhere, ruby-tinted smoke, warm light, strong composition lines.</t>
  </si>
  <si>
    <t>Red-haired bard mid-song, flame notes around flute, eyes bright with rhythm, floating sheet-music glyphs, embers swirling, expressive smile, orange light.</t>
  </si>
  <si>
    <t>Lean fighter in brass armor lunging forward, glowing blade leaving fiery trail, ash cloud behind, dramatic close-up, confident grin.</t>
  </si>
  <si>
    <t>Firestorm swirling upward like music notes, ruby beams twisting through sky, silhouettes of cheering warriors, magical sound waves visualized.</t>
  </si>
  <si>
    <t>Vast mine under crimson sunset, glowing ruby veins in stone, miners silhouetted against molten carts, sparks in air, warm cinematic lighting.</t>
  </si>
  <si>
    <t>Massive armored beast emerging from magma, molten chains crack, ruby eyes glow, smoke bursts upward, scale emphasized with low angle.</t>
  </si>
  <si>
    <t>Chunky steampunk golem mid-hammer-swing, glowing runes on chest, vents releasing smoke, heavy industrial background, red glow reflections, anime mech feel.</t>
  </si>
  <si>
    <t>Conductor silhouette atop volcano directing fiery energy, trails of red-orange light shaped like instruments, grand swirling composition, electric intensity.</t>
  </si>
  <si>
    <t>Underground forge lit by lava rivers, workers framed by molten arcs, giant heart-shaped crystal embedded in wall, rich red contrast.</t>
  </si>
  <si>
    <t>Broad-shouldered orc drummer with flaming gauntlets beating colossal ruby drums. Ash flies with each strike, sweat glistens, confident grin under molten light. Background: collapsing forge city, rhythm visible as glowing shockwaves. Warm red-orange hues, wild energy.</t>
  </si>
  <si>
    <t>Gigantic crimson rune circle radiating from volcano peak, musical glyphs rising in smoke, molten rivers form staff lines, glowing sky, intense red-orange palette.</t>
  </si>
  <si>
    <t>Colossal humanoid silhouette of molten crystal, mountain-sized, glowing fractures, slow movement, magma dripping like blood, clouds parting, awe-filled low-angle shot.</t>
  </si>
  <si>
    <t>Deep chamber of pulsing ruby light, floating heart-shaped crystal suspended in chains, miners silhouetted, ominous warmth, sacred yet industrial mood.</t>
  </si>
  <si>
    <t>Cheerful miner with red goggles swinging pickaxe, dust and embers fly, glowing ore around boots, stylized energy lines, warm orange hues.</t>
  </si>
  <si>
    <t>Stoic warrior in burnished armor standing amid rubble, sword glowing with ruby energy, cape flaring, stoic stare, strong wind, cinematic anime hero stance.</t>
  </si>
  <si>
    <t>Sleek aquatic humanoid riding translucent fish through glowing water tunnels, reflections duplicating them, cool blue palette, energetic anime pose, smooth flow.</t>
  </si>
  <si>
    <t>Diver slicing through water column, light refracting from crystalline fins, bubbles sparkle like gems, cool sapphire and cyan tones, graceful motion lines.</t>
  </si>
  <si>
    <t>Luminous owl perched on prism, feathers shimmer blue-violet, background of rippling mirrors, stylized reflection distortions, glowing eyes focused.</t>
  </si>
  <si>
    <t>Mage raising arm as blue energy ring ripples outward, shattering incoming fireball, fluid motion blur, focused eyes, water and light shards flying.</t>
  </si>
  <si>
    <t>Girl with prism monocle gazing into magical reflection, floating symbols of probability, calm blue-pink gradient lighting, subtle smile, anime close-up.</t>
  </si>
  <si>
    <t>Young scholar surrounded by floating scrolls and holographic water sigils, lab-glow reflections on face, poised thoughtful look, neat uniform, cool tones.</t>
  </si>
  <si>
    <t>Performer conjuring mirror doubles midair, dramatic arm gesture, light trails intersect, crystal shards levitate around, expression confident, theatrical blue light.</t>
  </si>
  <si>
    <t>Elegant pilot steering glass vessel over sapphire ocean, transparent sails gleam, reflected starlight, distant islands below, windswept hair, cinematic wide shot.</t>
  </si>
  <si>
    <t>Swirling spell forming recursive crystal patterns, sky filled with self-replicating shapes, soft blues and silvers, surreal balance, ethereal composition.</t>
  </si>
  <si>
    <t>Futuristic workshop carved into glowing ice cavern, water flowing through pipes, blue luminescent veins on walls, scientists in silhouette.</t>
  </si>
  <si>
    <t>Gigantic snake made of mirrored scales coiling through floating water spheres, distorted reflections of sky, fluid dynamic angle, glinting light.</t>
  </si>
  <si>
    <t>Sorcerer drawing glowing runes in air, fractal geometry behind, calculations reflected in floating water bubbles, intense stare, blue-white highlights.</t>
  </si>
  <si>
    <t>Coral reef of glass-like growths, glowing jellyfish and mirrored waves, soft bioluminescent ambiance, tranquil yet alien mood.</t>
  </si>
  <si>
    <t>Tall elf-like woman in flowing mirror-trimmed robes, holding prism staff. Surroundings warp like water, eyes calm yet knowing. Reflections form illusions of herself—graceful, ethereal, elegant. Cool sapphire palette, gentle smile, composed stance, rippling magic circle underfoot.</t>
  </si>
  <si>
    <t>Gigantic translucent whale gliding through sky-sea horizon, body filled with stars, small ships below, glowing fins, majestic anime composition, serene mood.</t>
  </si>
  <si>
    <t>Twin mages touching palms against mirror portal, blue and white energy swirling, mirrored city beyond, liquid shimmer lighting, emotional connection vibe.</t>
  </si>
  <si>
    <t>Enormous rotating water helix in crystalline chamber, radiant blue light at center, energy conduits spiraling upward, scientists dwarfed below, soft gleam.</t>
  </si>
  <si>
    <t>Confident diver with short hair and sapphire goggles mid-dive, bubbles trailing like comets, sleek bodysuit, sunlight refracting through waves, dynamic composition.</t>
  </si>
  <si>
    <t>Calm artisan sketching mirror-bridge plans floating in air, holographic blueprints glow, delicate hand gesture, geometric light patterns form behind, calm aura.</t>
  </si>
  <si>
    <t>Agile elf leaping between tree branches, green scarf trailing, sunlight filtering through leaves, glowing emerald trails follow steps, energetic anime action pose.</t>
  </si>
  <si>
    <t>Dozens of glowing green birds forming musical notes mid-flight, sparkling feathers, golden sunrise, movement lines emphasize rhythm and freedom.</t>
  </si>
  <si>
    <t>Small wolf with mossy fur playfully growling, glowing eyes, flowers sprouting near paws, soft light, charming anime creature design.</t>
  </si>
  <si>
    <t>Energy wave spreads through plants, trees bloom instantly, soft emerald glow pulses outward, serene composition, painterly motion blur, warm ambient lighting.</t>
  </si>
  <si>
    <t>Young druid strumming a leaf-shaped harp, healing light radiates outward, wounded allies revitalize, glowing butterflies swirl, peaceful yet powerful expression.</t>
  </si>
  <si>
    <t>Forest musician with vine instrument, flowing green hair, floral tattoos glow, sunlight streaks through canopy, joyful expression, anime dynamic music lines.</t>
  </si>
  <si>
    <t>Bearded shaman surrounded by floating seed orbs, vines animate like serpents, glowing staff, serene forest clearing, mystical calm atmosphere.</t>
  </si>
  <si>
    <t>Sleek emerald panther crouched in jungle mist, bioluminescent stripes pulsing to rhythm, ready to pounce, cinematic low angle, glowing eyes.</t>
  </si>
  <si>
    <t>Druidic circle singing as roots spiral upward forming protective dome, green light beams through, rhythmic energy waves, lush jungle hues.</t>
  </si>
  <si>
    <t>Towering tree roots forming spiral staircase, tiny gardeners on vines, glowing sap rivers, sunbeams through canopy, dreamy emerald palette.</t>
  </si>
  <si>
    <t>Majestic stag with antlers blooming flowers, light trails follow movements, serene gaze, sun rays breaking fog, forest cathedral atmosphere.</t>
  </si>
  <si>
    <t>Massive wooden golem rising from forest floor, vines stretching from chest, birds scatter, moss drips, slow majestic motion, heroic angle.</t>
  </si>
  <si>
    <t>Magic surge transforms battlefield into lush jungle, glowing roots overtake ruins, wide cinematic shot, emerald light flood, awe-filled tone.</t>
  </si>
  <si>
    <t>Vast green crater filled with floral growth, crystal petals reflect sunlight, tiny figures working below, scale emphasized, radiant peaceful vibe.</t>
  </si>
  <si>
    <t>Graceful elf woman playing an emerald flute atop giant leaf platform. Her melody makes vines bloom and wind spiral in rhythm. Long hair flows, eyes closed, tranquil smile, light petals swirl, rich green-gold palette, soft anime glow.</t>
  </si>
  <si>
    <t>Tower-sized humanoid of bark and crystal, slow movement cracks roots, sunlight gleams through body, forest trembles, gentle expression, mythic presence.</t>
  </si>
  <si>
    <t>Panoramic shot of nature reborn, all creatures glowing with emerald light, musical glyphs in air, overwhelming beauty, dreamlike anime tone.</t>
  </si>
  <si>
    <t>Massive crystalline root glowing deep underground, surrounded by worshipers, light veins spread through rock, ancient mystical feeling, warm-green radiance.</t>
  </si>
  <si>
    <t>Energetic halfling gathering glowing herbs, oversized backpack, cheerful grin, fox companion nearby, bright sunlight through trees, adventurous anime vibe.</t>
  </si>
  <si>
    <t>Calm monk meditating under flowering tree, musical energy rings pulse from chest, floating leaves freeze midair, serene emerald light, peaceful focus.</t>
  </si>
  <si>
    <t>Hooded cultist kneeling before glowing gravestone, onyx sigils on ground, rising ghostlight, dark violet atmosphere, mist swirls with musical rhythm.</t>
  </si>
  <si>
    <t>Cloud of black moths emitting sound ripples, silver echoes around them, moonlit ruins background, haunting calm, ghostly translucence.</t>
  </si>
  <si>
    <t>Small sleek rat darting through candlelit tomb, red eyes glowing, ink-like tail dissolving into mist, dynamic low angle, eerie energy.</t>
  </si>
  <si>
    <t>Giant cracked bell mid-swing, shockwave of ghostly resonance expanding, monks bowing, blue-gray tone palette, dramatic lighting.</t>
  </si>
  <si>
    <t>Necromancer conducting choir of spirits, skeletal hands raised, blue flames floating around, rhythmic motion lines, cold and haunting beauty.</t>
  </si>
  <si>
    <t>Tall monk with bell-staff striking ground, sound waves as visible rings, robes flow, expression calm yet grim, deep shadows.</t>
  </si>
  <si>
    <t>Towering armored guardian rising from sarcophagus, glowing sigils ignite, slow awakening movement, heavy atmosphere, silver and black lighting.</t>
  </si>
  <si>
    <t>Figure holding lantern containing screaming faces, light flickers to the rhythm of breathing, quiet sadness, floating ashes, close-up.</t>
  </si>
  <si>
    <t>Massive bell suspended over abyss, carved faces around rim, blue aura pulses, fog drifting, spiritual solemn tone.</t>
  </si>
  <si>
    <t>Underground tunnel lined with black crystal, faint inner glow, miners reflected as silhouettes, cold light, still air, somber mood.</t>
  </si>
  <si>
    <t>Pale woman floating over graves, hair of smoke, her song raising skeletal forms, full moon background, gothic romantic energy.</t>
  </si>
  <si>
    <t>Golem formed from fused bells and chains, heavy limbs resonate, eyes glow faint blue, mist swirling, imposing stance, metallic echo.</t>
  </si>
  <si>
    <t>Cracked hands closing over glowing heart, everything freezes mid-beat, ghostly quiet energy, dim monochrome palette, terrifying calm.</t>
  </si>
  <si>
    <t>Cathedral-sized cave filled with hanging bells, faint light beams, mist rises, ancient carvings shimmer faintly, solemn silence dominates.</t>
  </si>
  <si>
    <t>Stoic orc monk with half-masked face, holding shattered bell-staff, robes tattered. Energy pulses from chest, echoing sound lines visible around. Expression mournful yet resolute, long hair swaying, monochrome glow, haunting temple backdrop, muted violet lighting, cinematic composition.</t>
  </si>
  <si>
    <t>Regal undead with cracked porcelain skin, wearing bone crown, black cape flowing in silent wind, cold moonlight spotlight, tragic majesty.</t>
  </si>
  <si>
    <t>Ruined battlefield under storm, ghostly figures rise singing lament, purple-gray clouds spiral, light and shadow clash in musical formation.</t>
  </si>
  <si>
    <t>Abyss filled with black crystals humming faintly, miners with lanterns approach cautiously, deep blue glow, oppressive but beautiful.</t>
  </si>
  <si>
    <t>Gaunt figure kneeling in graveyard rain, black light seeping from palms, expression peaceful surrender, candlelight flickers, melancholy tone.</t>
  </si>
  <si>
    <t>Young necromancer playing flute made of bone, sound waves animate spirits, skulls levitate, hair blowing dramatically, blue-gray glow.</t>
  </si>
  <si>
    <t>Sleek violet raven flying through night fog, feathers trailing glowing runes, full moon halo, dreamy purple palette, elegant anime bird motion.</t>
  </si>
  <si>
    <t>Small deer with crystal antlers standing on mirror pond, reflection shows stars instead of itself, soft lilac light, tranquil expression.</t>
  </si>
  <si>
    <t>Translucent humanoid wreathed in violet mist, gently holding glowing orb, emotionless face, particles float upward, weightless atmosphere, serene.</t>
  </si>
  <si>
    <t>Sorceress raising hand, pale violet waves of sleep magic expand, enemies collapse mid-step, faint smile, soft dreamy blur, muted palette.</t>
  </si>
  <si>
    <t>Psychic duel moment—two figures’ eyes locked, pink energy arcs connect their minds, air ripples, surreal reflections distort surroundings.</t>
  </si>
  <si>
    <t>Young mystic meditating midair, lotus petals spinning around head, violet and gold aura, glowing third eye, tranquil face, harmonic energy field.</t>
  </si>
  <si>
    <t>Barefoot monk singing atop floating stones, each tone forms glowing sigil in air, calm smile, flowing robes, ethereal lighting, anime serenity.</t>
  </si>
  <si>
    <t>Woman opening third eye to project visions as holographic stars, hands raised, hair floats, expression distant, cool purple gradients.</t>
  </si>
  <si>
    <t>Wide shot of sky filled with glowing dream symbols, aurora lights bend in musical arcs, pastel hues, surreal beauty, anime flow.</t>
  </si>
  <si>
    <t>Pool reflecting clouds and stars simultaneously, ripples glow violet, shimmering depth, trees bend inward toward reflection, calm and mysterious.</t>
  </si>
  <si>
    <t>Gigantic translucent snake coiling through starry night sky, shifting colors of aurora, scales shimmer with emotion, elegant movement lines.</t>
  </si>
  <si>
    <t>Crystalline guardian of semi-transparent glass, glowing core, floating calmly amid mist, ethereal motion blur, gentle yet imposing presence.</t>
  </si>
  <si>
    <t>Ensemble of singers levitating under glowing moon, sound waves visible as spirals of light, soft faces, emotion in their glow.</t>
  </si>
  <si>
    <t>Deep crystalline well glowing from within, stars reflecting upward, character leaning over edge, wind bending light, sense of infinite depth.</t>
  </si>
  <si>
    <t>Tall woman with lavender skin and shimmering hair, standing in dreamlike fog. She sings softly; her breath becomes floating spirit lights. Robes flow like mist, calm gaze, soft violet halo, tone of compassion and ancient sorrow. Gentle anime glow, slow movement energy.</t>
  </si>
  <si>
    <t>Elegant figure walking through a dreamscape of floating doors, galaxies visible through cracks, soft purple illumination, surreal motion, emotional tone.</t>
  </si>
  <si>
    <t>World collapsing into starlit fragments, light explodes from crystal tower, characters reaching skyward, violet and white brilliance, cosmic harmony theme.</t>
  </si>
  <si>
    <t>Tower of crystals forming giant spiral, energy threads link each facet, glowing with all gem colors faintly, meditative atmosphere.</t>
  </si>
  <si>
    <t>Sleepy scholar surrounded by floating notebooks and plush spirits, dozing at desk, candlelight flickers purple, whimsical anime humor.</t>
  </si>
  <si>
    <t>Lytheran Prophet | Hooded prophet gazing into suspended pool of stars, light reflects in eyes, tranquil poise, ancient runes orbit head, majestic stillness.</t>
  </si>
  <si>
    <t>Adventurer cloaked in refracting glass fabric walking desert of rainbow sand, color beams bending around body, mysterious expression, surreal sunlight.</t>
  </si>
  <si>
    <t>Burst of prismatic energy erupting from cracked gemstone, spectrum shockwave distorts landscape, flying shards suspended midair, high contrast lighting.</t>
  </si>
  <si>
    <t>Hybrid golem of mismatched metals glowing multicolored, powerful punch mid-motion, fragments scatter, molten light trails, anime mech energy vibe.</t>
  </si>
  <si>
    <t>Two-headed lion, one side blue fire, one side red, bodies intertwined, dynamic roaring, swirling heat haze, blazing sky background.</t>
  </si>
  <si>
    <t>Mage spinning staff as colored energy rings shift hues rapidly, rainbow trails blend, chaotic yet mesmerizing, anime motion arcs.</t>
  </si>
  <si>
    <t>Creature of shifting anatomy, body parts morph colors mid-stride, expression curious not monstrous, neon light backdrop, fast motion, comic-style flare.</t>
  </si>
  <si>
    <t>Hybrid Experiment</t>
  </si>
  <si>
    <t>Hero in radiant armor reflecting all colors, sword blazing rainbow arc, pose like comic splash page, confident grin, shining eyes.</t>
  </si>
  <si>
    <t>Floating crystal shards emit multicolored music lines, glowing glyphs orbit, cosmic background, sense of revelation, vivid and bright tone.</t>
  </si>
  <si>
    <t>Fused Beast of the Veins</t>
  </si>
  <si>
    <t>Gigantic chimera with glowing veins of every color, wings shifting hues, eyes burn like gems, ground fractured beneath, massive cinematic shot.</t>
  </si>
  <si>
    <t>Colossal translucent titan of light standing among clouds, colors ripple across body, calm expression, divine aura, soft radiant gradient sky.</t>
  </si>
  <si>
    <t>Magical cataclysm scene—sky splitting into six colored rifts, energy flows downward as melody, silhouettes watch in awe, dynamic sweeping view.</t>
  </si>
  <si>
    <t>Tall armored figure with mirrored mask, cape made of spectral ribbons, arms outstretched absorbing rainbow light, divine-mechanical style, heroic posture.</t>
  </si>
  <si>
    <t>Floating crystalline reactor leaking pure color energy, landscape warps around, prism beams pierce clouds, unstable beauty, impossible geometry, glowing chaos.</t>
  </si>
  <si>
    <t>Orc drummer encased in ruby glass armor, molten veins glow beneath, drum surfaces emit fractal red light, shattered gem fragments orbit him, pose mid-beat, radiant energy lines, magma-sky backdrop.</t>
  </si>
  <si>
    <t>Elven scholar levitating in prism sphere, body partially crystalline, silver hair reflecting blue-white rays, glass feathers surround, calm smile, mirrored city dissolving into light.</t>
  </si>
  <si>
    <t>Elf flutist glowing with emerald translucence, crystal vines wrap arms and hair, flute emits blooming light petals, gentle smile, floating over luminous forest canopy, surreal green aura.</t>
  </si>
  <si>
    <t>Half-mask replaced by fractured onyx glass, body glowing beneath black crystal armor, spectral bells orbit, pale blue sound waves ripple, silent cathedral under moonlight.</t>
  </si>
  <si>
    <t>Woman of amethyst facets, eyes pure light, hair floats as crystal strands, dream spirits orbit as shards, violet horizon bends like glass, ethereal serenity, divine expression.</t>
  </si>
  <si>
    <t>Towering titan made of refracted gemstone planes, sky mirrored on body, hands spread releasing spectral lightstorm, translucent and monumental, every edge glowing softly, celestial tone.</t>
  </si>
  <si>
    <t>Gigantic molten-crystal giant emerging from ruby core, inner magma pulses through transparent skin, crystalline mountain backdrop, light veins pulse rhythmically, divine molten geometry.</t>
  </si>
  <si>
    <t>Dreamlike figure of shifting glass and starlight, each movement leaves crystal echoes, violet aurora surrounding, eyes closed in bliss, serene smile, floating above shattered mirror sea.</t>
  </si>
  <si>
    <t>Bellkeeper Exile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</si>
</sst>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0"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22"/>
  <sheetViews>
    <sheetView tabSelected="1" workbookViewId="0">
      <selection activeCell="B42" sqref="B42"/>
    </sheetView>
  </sheetViews>
  <sheetFormatPr defaultRowHeight="14.25" x14ac:dyDescent="0.45"/>
  <cols>
    <col min="2" max="2" width="29.06640625" bestFit="1" customWidth="1"/>
    <col min="15" max="15" width="11.59765625" bestFit="1" customWidth="1"/>
  </cols>
  <sheetData>
    <row r="1" spans="1:15" x14ac:dyDescent="0.45">
      <c r="A1" s="1" t="s">
        <v>0</v>
      </c>
      <c r="B1" s="1" t="s">
        <v>1</v>
      </c>
      <c r="C1" s="1" t="s">
        <v>2</v>
      </c>
      <c r="D1" s="1" t="s">
        <v>3</v>
      </c>
      <c r="E1" s="1" t="s">
        <v>4</v>
      </c>
      <c r="F1" s="1" t="s">
        <v>5</v>
      </c>
      <c r="G1" s="1" t="s">
        <v>6</v>
      </c>
      <c r="H1" s="1" t="s">
        <v>7</v>
      </c>
      <c r="I1" s="1" t="s">
        <v>8</v>
      </c>
      <c r="J1" s="1" t="s">
        <v>9</v>
      </c>
      <c r="K1" s="1" t="s">
        <v>10</v>
      </c>
      <c r="L1" s="1" t="s">
        <v>11</v>
      </c>
      <c r="M1" s="2" t="s">
        <v>290</v>
      </c>
    </row>
    <row r="2" spans="1:15" x14ac:dyDescent="0.45">
      <c r="A2" t="s">
        <v>12</v>
      </c>
      <c r="B2" t="s">
        <v>132</v>
      </c>
      <c r="C2" t="s">
        <v>249</v>
      </c>
      <c r="D2" t="s">
        <v>255</v>
      </c>
      <c r="E2" t="s">
        <v>261</v>
      </c>
      <c r="F2">
        <v>1</v>
      </c>
      <c r="G2">
        <v>0</v>
      </c>
      <c r="H2">
        <v>1</v>
      </c>
      <c r="I2">
        <v>1</v>
      </c>
      <c r="J2">
        <v>3</v>
      </c>
      <c r="L2">
        <v>18.37</v>
      </c>
      <c r="M2">
        <f>L2/10</f>
        <v>1.8370000000000002</v>
      </c>
      <c r="N2">
        <f t="shared" ref="N2:N65" si="0">ROUNDUP(L2/0.065,0)</f>
        <v>283</v>
      </c>
      <c r="O2">
        <f t="shared" ref="O2:O65" si="1">ROUNDUP(M2/0.065,0)</f>
        <v>29</v>
      </c>
    </row>
    <row r="3" spans="1:15" x14ac:dyDescent="0.45">
      <c r="A3" t="s">
        <v>13</v>
      </c>
      <c r="B3" t="s">
        <v>133</v>
      </c>
      <c r="C3" t="s">
        <v>249</v>
      </c>
      <c r="D3" t="s">
        <v>255</v>
      </c>
      <c r="E3" t="s">
        <v>261</v>
      </c>
      <c r="F3">
        <v>1</v>
      </c>
      <c r="G3">
        <v>0</v>
      </c>
      <c r="H3">
        <v>1</v>
      </c>
      <c r="I3">
        <v>2</v>
      </c>
      <c r="J3">
        <v>3</v>
      </c>
      <c r="L3">
        <v>18.37</v>
      </c>
      <c r="M3">
        <f t="shared" ref="M3:M66" si="2">L3/10</f>
        <v>1.8370000000000002</v>
      </c>
      <c r="N3">
        <f t="shared" si="0"/>
        <v>283</v>
      </c>
      <c r="O3">
        <f t="shared" si="1"/>
        <v>29</v>
      </c>
    </row>
    <row r="4" spans="1:15" x14ac:dyDescent="0.45">
      <c r="A4" t="s">
        <v>14</v>
      </c>
      <c r="B4" t="s">
        <v>134</v>
      </c>
      <c r="C4" t="s">
        <v>249</v>
      </c>
      <c r="D4" t="s">
        <v>255</v>
      </c>
      <c r="E4" t="s">
        <v>261</v>
      </c>
      <c r="F4">
        <v>2</v>
      </c>
      <c r="G4">
        <v>0</v>
      </c>
      <c r="H4">
        <v>2</v>
      </c>
      <c r="I4">
        <v>2</v>
      </c>
      <c r="J4">
        <v>1</v>
      </c>
      <c r="L4">
        <v>18.37</v>
      </c>
      <c r="M4">
        <f t="shared" si="2"/>
        <v>1.8370000000000002</v>
      </c>
      <c r="N4">
        <f t="shared" si="0"/>
        <v>283</v>
      </c>
      <c r="O4">
        <f t="shared" si="1"/>
        <v>29</v>
      </c>
    </row>
    <row r="5" spans="1:15" x14ac:dyDescent="0.45">
      <c r="A5" t="s">
        <v>15</v>
      </c>
      <c r="B5" t="s">
        <v>135</v>
      </c>
      <c r="C5" t="s">
        <v>249</v>
      </c>
      <c r="D5" t="s">
        <v>256</v>
      </c>
      <c r="E5" t="s">
        <v>261</v>
      </c>
      <c r="F5">
        <v>2</v>
      </c>
      <c r="G5">
        <v>0</v>
      </c>
      <c r="H5">
        <v>2</v>
      </c>
      <c r="L5">
        <v>18.37</v>
      </c>
      <c r="M5">
        <f t="shared" si="2"/>
        <v>1.8370000000000002</v>
      </c>
      <c r="N5">
        <f t="shared" si="0"/>
        <v>283</v>
      </c>
      <c r="O5">
        <f t="shared" si="1"/>
        <v>29</v>
      </c>
    </row>
    <row r="6" spans="1:15" x14ac:dyDescent="0.45">
      <c r="A6" t="s">
        <v>16</v>
      </c>
      <c r="B6" t="s">
        <v>136</v>
      </c>
      <c r="C6" t="s">
        <v>249</v>
      </c>
      <c r="D6" t="s">
        <v>256</v>
      </c>
      <c r="E6" t="s">
        <v>261</v>
      </c>
      <c r="F6">
        <v>1</v>
      </c>
      <c r="G6">
        <v>0</v>
      </c>
      <c r="H6">
        <v>1</v>
      </c>
      <c r="L6">
        <v>18.37</v>
      </c>
      <c r="M6">
        <f t="shared" si="2"/>
        <v>1.8370000000000002</v>
      </c>
      <c r="N6">
        <f t="shared" si="0"/>
        <v>283</v>
      </c>
      <c r="O6">
        <f t="shared" si="1"/>
        <v>29</v>
      </c>
    </row>
    <row r="7" spans="1:15" x14ac:dyDescent="0.45">
      <c r="A7" t="s">
        <v>17</v>
      </c>
      <c r="B7" t="s">
        <v>137</v>
      </c>
      <c r="C7" t="s">
        <v>249</v>
      </c>
      <c r="D7" t="s">
        <v>255</v>
      </c>
      <c r="E7" t="s">
        <v>262</v>
      </c>
      <c r="F7">
        <v>1</v>
      </c>
      <c r="G7">
        <v>1</v>
      </c>
      <c r="H7">
        <v>2</v>
      </c>
      <c r="I7">
        <v>3</v>
      </c>
      <c r="J7">
        <v>2</v>
      </c>
      <c r="L7">
        <v>11.53</v>
      </c>
      <c r="M7">
        <f t="shared" si="2"/>
        <v>1.153</v>
      </c>
      <c r="N7">
        <f t="shared" si="0"/>
        <v>178</v>
      </c>
      <c r="O7">
        <f t="shared" si="1"/>
        <v>18</v>
      </c>
    </row>
    <row r="8" spans="1:15" x14ac:dyDescent="0.45">
      <c r="A8" t="s">
        <v>18</v>
      </c>
      <c r="B8" t="s">
        <v>138</v>
      </c>
      <c r="C8" t="s">
        <v>249</v>
      </c>
      <c r="D8" t="s">
        <v>255</v>
      </c>
      <c r="E8" t="s">
        <v>262</v>
      </c>
      <c r="F8">
        <v>2</v>
      </c>
      <c r="G8">
        <v>0</v>
      </c>
      <c r="H8">
        <v>2</v>
      </c>
      <c r="I8">
        <v>2</v>
      </c>
      <c r="J8">
        <v>4</v>
      </c>
      <c r="L8">
        <v>11.53</v>
      </c>
      <c r="M8">
        <f t="shared" si="2"/>
        <v>1.153</v>
      </c>
      <c r="N8">
        <f t="shared" si="0"/>
        <v>178</v>
      </c>
      <c r="O8">
        <f t="shared" si="1"/>
        <v>18</v>
      </c>
    </row>
    <row r="9" spans="1:15" x14ac:dyDescent="0.45">
      <c r="A9" t="s">
        <v>19</v>
      </c>
      <c r="B9" t="s">
        <v>139</v>
      </c>
      <c r="C9" t="s">
        <v>249</v>
      </c>
      <c r="D9" t="s">
        <v>255</v>
      </c>
      <c r="E9" t="s">
        <v>262</v>
      </c>
      <c r="F9">
        <v>2</v>
      </c>
      <c r="G9">
        <v>0</v>
      </c>
      <c r="H9">
        <v>2</v>
      </c>
      <c r="I9">
        <v>3</v>
      </c>
      <c r="J9">
        <v>3</v>
      </c>
      <c r="L9">
        <v>11.53</v>
      </c>
      <c r="M9">
        <f t="shared" si="2"/>
        <v>1.153</v>
      </c>
      <c r="N9">
        <f t="shared" si="0"/>
        <v>178</v>
      </c>
      <c r="O9">
        <f t="shared" si="1"/>
        <v>18</v>
      </c>
    </row>
    <row r="10" spans="1:15" x14ac:dyDescent="0.45">
      <c r="A10" t="s">
        <v>20</v>
      </c>
      <c r="B10" t="s">
        <v>140</v>
      </c>
      <c r="C10" t="s">
        <v>249</v>
      </c>
      <c r="D10" t="s">
        <v>256</v>
      </c>
      <c r="E10" t="s">
        <v>262</v>
      </c>
      <c r="F10">
        <v>2</v>
      </c>
      <c r="G10">
        <v>1</v>
      </c>
      <c r="H10">
        <v>3</v>
      </c>
      <c r="L10">
        <v>11.53</v>
      </c>
      <c r="M10">
        <f t="shared" si="2"/>
        <v>1.153</v>
      </c>
      <c r="N10">
        <f t="shared" si="0"/>
        <v>178</v>
      </c>
      <c r="O10">
        <f t="shared" si="1"/>
        <v>18</v>
      </c>
    </row>
    <row r="11" spans="1:15" x14ac:dyDescent="0.45">
      <c r="A11" t="s">
        <v>21</v>
      </c>
      <c r="B11" t="s">
        <v>141</v>
      </c>
      <c r="C11" t="s">
        <v>249</v>
      </c>
      <c r="D11" t="s">
        <v>257</v>
      </c>
      <c r="E11" t="s">
        <v>262</v>
      </c>
      <c r="F11">
        <v>1</v>
      </c>
      <c r="G11">
        <v>1</v>
      </c>
      <c r="H11">
        <v>2</v>
      </c>
      <c r="L11">
        <v>11.53</v>
      </c>
      <c r="M11">
        <f t="shared" si="2"/>
        <v>1.153</v>
      </c>
      <c r="N11">
        <f t="shared" si="0"/>
        <v>178</v>
      </c>
      <c r="O11">
        <f t="shared" si="1"/>
        <v>18</v>
      </c>
    </row>
    <row r="12" spans="1:15" x14ac:dyDescent="0.45">
      <c r="A12" t="s">
        <v>22</v>
      </c>
      <c r="B12" t="s">
        <v>142</v>
      </c>
      <c r="C12" t="s">
        <v>249</v>
      </c>
      <c r="D12" t="s">
        <v>255</v>
      </c>
      <c r="E12" t="s">
        <v>263</v>
      </c>
      <c r="F12">
        <v>2</v>
      </c>
      <c r="G12">
        <v>1</v>
      </c>
      <c r="H12">
        <v>3</v>
      </c>
      <c r="I12">
        <v>3</v>
      </c>
      <c r="J12">
        <v>3</v>
      </c>
      <c r="L12">
        <v>4.38</v>
      </c>
      <c r="M12">
        <f t="shared" si="2"/>
        <v>0.438</v>
      </c>
      <c r="N12">
        <f t="shared" si="0"/>
        <v>68</v>
      </c>
      <c r="O12">
        <f t="shared" si="1"/>
        <v>7</v>
      </c>
    </row>
    <row r="13" spans="1:15" x14ac:dyDescent="0.45">
      <c r="A13" t="s">
        <v>23</v>
      </c>
      <c r="B13" t="s">
        <v>143</v>
      </c>
      <c r="C13" t="s">
        <v>249</v>
      </c>
      <c r="D13" t="s">
        <v>258</v>
      </c>
      <c r="E13" t="s">
        <v>263</v>
      </c>
      <c r="F13">
        <v>2</v>
      </c>
      <c r="G13">
        <v>2</v>
      </c>
      <c r="H13">
        <v>4</v>
      </c>
      <c r="I13">
        <v>4</v>
      </c>
      <c r="J13">
        <v>5</v>
      </c>
      <c r="L13">
        <v>4.38</v>
      </c>
      <c r="M13">
        <f t="shared" si="2"/>
        <v>0.438</v>
      </c>
      <c r="N13">
        <f t="shared" si="0"/>
        <v>68</v>
      </c>
      <c r="O13">
        <f t="shared" si="1"/>
        <v>7</v>
      </c>
    </row>
    <row r="14" spans="1:15" x14ac:dyDescent="0.45">
      <c r="A14" t="s">
        <v>24</v>
      </c>
      <c r="B14" t="s">
        <v>144</v>
      </c>
      <c r="C14" t="s">
        <v>249</v>
      </c>
      <c r="D14" t="s">
        <v>256</v>
      </c>
      <c r="E14" t="s">
        <v>263</v>
      </c>
      <c r="F14">
        <v>2</v>
      </c>
      <c r="G14">
        <v>3</v>
      </c>
      <c r="H14">
        <v>5</v>
      </c>
      <c r="L14">
        <v>4.38</v>
      </c>
      <c r="M14">
        <f t="shared" si="2"/>
        <v>0.438</v>
      </c>
      <c r="N14">
        <f t="shared" si="0"/>
        <v>68</v>
      </c>
      <c r="O14">
        <f t="shared" si="1"/>
        <v>7</v>
      </c>
    </row>
    <row r="15" spans="1:15" x14ac:dyDescent="0.45">
      <c r="A15" t="s">
        <v>25</v>
      </c>
      <c r="B15" t="s">
        <v>145</v>
      </c>
      <c r="C15" t="s">
        <v>249</v>
      </c>
      <c r="D15" t="s">
        <v>257</v>
      </c>
      <c r="E15" t="s">
        <v>263</v>
      </c>
      <c r="F15">
        <v>2</v>
      </c>
      <c r="G15">
        <v>1</v>
      </c>
      <c r="H15">
        <v>3</v>
      </c>
      <c r="L15">
        <v>4.38</v>
      </c>
      <c r="M15">
        <f t="shared" si="2"/>
        <v>0.438</v>
      </c>
      <c r="N15">
        <f t="shared" si="0"/>
        <v>68</v>
      </c>
      <c r="O15">
        <f t="shared" si="1"/>
        <v>7</v>
      </c>
    </row>
    <row r="16" spans="1:15" x14ac:dyDescent="0.45">
      <c r="A16" t="s">
        <v>26</v>
      </c>
      <c r="B16" t="s">
        <v>146</v>
      </c>
      <c r="C16" t="s">
        <v>249</v>
      </c>
      <c r="D16" t="s">
        <v>259</v>
      </c>
      <c r="E16" t="s">
        <v>263</v>
      </c>
      <c r="F16">
        <v>2</v>
      </c>
      <c r="G16">
        <v>1</v>
      </c>
      <c r="H16">
        <v>3</v>
      </c>
      <c r="I16">
        <v>3</v>
      </c>
      <c r="J16">
        <v>3</v>
      </c>
      <c r="L16">
        <v>4.38</v>
      </c>
      <c r="M16">
        <f t="shared" si="2"/>
        <v>0.438</v>
      </c>
      <c r="N16">
        <f t="shared" si="0"/>
        <v>68</v>
      </c>
      <c r="O16">
        <f t="shared" si="1"/>
        <v>7</v>
      </c>
    </row>
    <row r="17" spans="1:16" x14ac:dyDescent="0.45">
      <c r="A17" t="s">
        <v>27</v>
      </c>
      <c r="B17" t="s">
        <v>147</v>
      </c>
      <c r="C17" t="s">
        <v>249</v>
      </c>
      <c r="D17" t="s">
        <v>256</v>
      </c>
      <c r="E17" t="s">
        <v>264</v>
      </c>
      <c r="F17">
        <v>2</v>
      </c>
      <c r="G17">
        <v>4</v>
      </c>
      <c r="H17">
        <v>6</v>
      </c>
      <c r="L17">
        <v>1.04</v>
      </c>
      <c r="M17">
        <f t="shared" si="2"/>
        <v>0.10400000000000001</v>
      </c>
      <c r="N17">
        <f t="shared" si="0"/>
        <v>16</v>
      </c>
      <c r="O17">
        <f t="shared" si="1"/>
        <v>2</v>
      </c>
    </row>
    <row r="18" spans="1:16" x14ac:dyDescent="0.45">
      <c r="A18" t="s">
        <v>28</v>
      </c>
      <c r="B18" t="s">
        <v>148</v>
      </c>
      <c r="C18" t="s">
        <v>249</v>
      </c>
      <c r="D18" t="s">
        <v>255</v>
      </c>
      <c r="E18" t="s">
        <v>264</v>
      </c>
      <c r="F18">
        <v>2</v>
      </c>
      <c r="G18">
        <v>3</v>
      </c>
      <c r="H18">
        <v>5</v>
      </c>
      <c r="I18">
        <v>5</v>
      </c>
      <c r="J18">
        <v>5</v>
      </c>
      <c r="L18">
        <v>1.04</v>
      </c>
      <c r="M18">
        <f t="shared" si="2"/>
        <v>0.10400000000000001</v>
      </c>
      <c r="N18">
        <f t="shared" si="0"/>
        <v>16</v>
      </c>
      <c r="O18">
        <f t="shared" si="1"/>
        <v>2</v>
      </c>
    </row>
    <row r="19" spans="1:16" x14ac:dyDescent="0.45">
      <c r="A19" t="s">
        <v>29</v>
      </c>
      <c r="B19" t="s">
        <v>149</v>
      </c>
      <c r="C19" t="s">
        <v>249</v>
      </c>
      <c r="D19" t="s">
        <v>257</v>
      </c>
      <c r="E19" t="s">
        <v>264</v>
      </c>
      <c r="F19">
        <v>2</v>
      </c>
      <c r="G19">
        <v>3</v>
      </c>
      <c r="H19">
        <v>5</v>
      </c>
      <c r="L19">
        <v>1.04</v>
      </c>
      <c r="M19">
        <f t="shared" si="2"/>
        <v>0.10400000000000001</v>
      </c>
      <c r="N19">
        <f t="shared" si="0"/>
        <v>16</v>
      </c>
      <c r="O19">
        <f t="shared" si="1"/>
        <v>2</v>
      </c>
    </row>
    <row r="20" spans="1:16" x14ac:dyDescent="0.45">
      <c r="A20" t="s">
        <v>30</v>
      </c>
      <c r="B20" t="s">
        <v>150</v>
      </c>
      <c r="C20" t="s">
        <v>249</v>
      </c>
      <c r="D20" t="s">
        <v>260</v>
      </c>
      <c r="E20" t="s">
        <v>265</v>
      </c>
      <c r="F20">
        <v>0</v>
      </c>
      <c r="G20">
        <v>0</v>
      </c>
      <c r="H20">
        <v>0</v>
      </c>
      <c r="L20">
        <v>10</v>
      </c>
      <c r="M20">
        <f t="shared" si="2"/>
        <v>1</v>
      </c>
      <c r="N20">
        <f t="shared" si="0"/>
        <v>154</v>
      </c>
      <c r="O20">
        <f t="shared" si="1"/>
        <v>16</v>
      </c>
      <c r="P20">
        <f>N20</f>
        <v>154</v>
      </c>
    </row>
    <row r="21" spans="1:16" x14ac:dyDescent="0.45">
      <c r="A21" t="s">
        <v>31</v>
      </c>
      <c r="B21" t="s">
        <v>151</v>
      </c>
      <c r="C21" t="s">
        <v>249</v>
      </c>
      <c r="D21" t="s">
        <v>260</v>
      </c>
      <c r="E21" t="s">
        <v>265</v>
      </c>
      <c r="F21">
        <v>0</v>
      </c>
      <c r="G21">
        <v>0</v>
      </c>
      <c r="H21">
        <v>0</v>
      </c>
      <c r="L21">
        <v>10</v>
      </c>
      <c r="M21">
        <f t="shared" si="2"/>
        <v>1</v>
      </c>
      <c r="N21">
        <f t="shared" si="0"/>
        <v>154</v>
      </c>
      <c r="O21">
        <f t="shared" si="1"/>
        <v>16</v>
      </c>
      <c r="P21">
        <f>N21</f>
        <v>154</v>
      </c>
    </row>
    <row r="22" spans="1:16" x14ac:dyDescent="0.45">
      <c r="A22" t="s">
        <v>32</v>
      </c>
      <c r="B22" t="s">
        <v>152</v>
      </c>
      <c r="C22" t="s">
        <v>250</v>
      </c>
      <c r="D22" t="s">
        <v>255</v>
      </c>
      <c r="E22" t="s">
        <v>261</v>
      </c>
      <c r="F22">
        <v>2</v>
      </c>
      <c r="G22">
        <v>0</v>
      </c>
      <c r="H22">
        <v>2</v>
      </c>
      <c r="I22">
        <v>1</v>
      </c>
      <c r="J22">
        <v>3</v>
      </c>
      <c r="L22">
        <v>18.37</v>
      </c>
      <c r="M22">
        <f t="shared" si="2"/>
        <v>1.8370000000000002</v>
      </c>
      <c r="N22">
        <f t="shared" si="0"/>
        <v>283</v>
      </c>
      <c r="O22">
        <f t="shared" si="1"/>
        <v>29</v>
      </c>
    </row>
    <row r="23" spans="1:16" x14ac:dyDescent="0.45">
      <c r="A23" t="s">
        <v>33</v>
      </c>
      <c r="B23" t="s">
        <v>153</v>
      </c>
      <c r="C23" t="s">
        <v>250</v>
      </c>
      <c r="D23" t="s">
        <v>255</v>
      </c>
      <c r="E23" t="s">
        <v>261</v>
      </c>
      <c r="F23">
        <v>2</v>
      </c>
      <c r="G23">
        <v>0</v>
      </c>
      <c r="H23">
        <v>2</v>
      </c>
      <c r="I23">
        <v>3</v>
      </c>
      <c r="J23">
        <v>1</v>
      </c>
      <c r="L23">
        <v>18.37</v>
      </c>
      <c r="M23">
        <f t="shared" si="2"/>
        <v>1.8370000000000002</v>
      </c>
      <c r="N23">
        <f t="shared" si="0"/>
        <v>283</v>
      </c>
      <c r="O23">
        <f t="shared" si="1"/>
        <v>29</v>
      </c>
    </row>
    <row r="24" spans="1:16" x14ac:dyDescent="0.45">
      <c r="A24" t="s">
        <v>34</v>
      </c>
      <c r="B24" t="s">
        <v>154</v>
      </c>
      <c r="C24" t="s">
        <v>250</v>
      </c>
      <c r="D24" t="s">
        <v>255</v>
      </c>
      <c r="E24" t="s">
        <v>261</v>
      </c>
      <c r="F24">
        <v>1</v>
      </c>
      <c r="G24">
        <v>0</v>
      </c>
      <c r="H24">
        <v>1</v>
      </c>
      <c r="I24">
        <v>2</v>
      </c>
      <c r="J24">
        <v>1</v>
      </c>
      <c r="L24">
        <v>18.37</v>
      </c>
      <c r="M24">
        <f t="shared" si="2"/>
        <v>1.8370000000000002</v>
      </c>
      <c r="N24">
        <f t="shared" si="0"/>
        <v>283</v>
      </c>
      <c r="O24">
        <f t="shared" si="1"/>
        <v>29</v>
      </c>
    </row>
    <row r="25" spans="1:16" x14ac:dyDescent="0.45">
      <c r="A25" t="s">
        <v>35</v>
      </c>
      <c r="B25" t="s">
        <v>155</v>
      </c>
      <c r="C25" t="s">
        <v>250</v>
      </c>
      <c r="D25" t="s">
        <v>256</v>
      </c>
      <c r="E25" t="s">
        <v>261</v>
      </c>
      <c r="F25">
        <v>2</v>
      </c>
      <c r="G25">
        <v>1</v>
      </c>
      <c r="H25">
        <v>3</v>
      </c>
      <c r="L25">
        <v>18.37</v>
      </c>
      <c r="M25">
        <f t="shared" si="2"/>
        <v>1.8370000000000002</v>
      </c>
      <c r="N25">
        <f t="shared" si="0"/>
        <v>283</v>
      </c>
      <c r="O25">
        <f t="shared" si="1"/>
        <v>29</v>
      </c>
    </row>
    <row r="26" spans="1:16" x14ac:dyDescent="0.45">
      <c r="A26" t="s">
        <v>36</v>
      </c>
      <c r="B26" t="s">
        <v>156</v>
      </c>
      <c r="C26" t="s">
        <v>250</v>
      </c>
      <c r="D26" t="s">
        <v>256</v>
      </c>
      <c r="E26" t="s">
        <v>261</v>
      </c>
      <c r="F26">
        <v>1</v>
      </c>
      <c r="G26">
        <v>0</v>
      </c>
      <c r="H26">
        <v>1</v>
      </c>
      <c r="L26">
        <v>18.37</v>
      </c>
      <c r="M26">
        <f t="shared" si="2"/>
        <v>1.8370000000000002</v>
      </c>
      <c r="N26">
        <f t="shared" si="0"/>
        <v>283</v>
      </c>
      <c r="O26">
        <f t="shared" si="1"/>
        <v>29</v>
      </c>
    </row>
    <row r="27" spans="1:16" x14ac:dyDescent="0.45">
      <c r="A27" t="s">
        <v>37</v>
      </c>
      <c r="B27" t="s">
        <v>157</v>
      </c>
      <c r="C27" t="s">
        <v>250</v>
      </c>
      <c r="D27" t="s">
        <v>255</v>
      </c>
      <c r="E27" t="s">
        <v>262</v>
      </c>
      <c r="F27">
        <v>2</v>
      </c>
      <c r="G27">
        <v>1</v>
      </c>
      <c r="H27">
        <v>3</v>
      </c>
      <c r="I27">
        <v>4</v>
      </c>
      <c r="J27">
        <v>4</v>
      </c>
      <c r="L27">
        <v>11.53</v>
      </c>
      <c r="M27">
        <f t="shared" si="2"/>
        <v>1.153</v>
      </c>
      <c r="N27">
        <f t="shared" si="0"/>
        <v>178</v>
      </c>
      <c r="O27">
        <f t="shared" si="1"/>
        <v>18</v>
      </c>
    </row>
    <row r="28" spans="1:16" x14ac:dyDescent="0.45">
      <c r="A28" t="s">
        <v>38</v>
      </c>
      <c r="B28" t="s">
        <v>158</v>
      </c>
      <c r="C28" t="s">
        <v>250</v>
      </c>
      <c r="D28" t="s">
        <v>255</v>
      </c>
      <c r="E28" t="s">
        <v>262</v>
      </c>
      <c r="F28">
        <v>2</v>
      </c>
      <c r="G28">
        <v>1</v>
      </c>
      <c r="H28">
        <v>3</v>
      </c>
      <c r="I28">
        <v>3</v>
      </c>
      <c r="J28">
        <v>3</v>
      </c>
      <c r="L28">
        <v>11.53</v>
      </c>
      <c r="M28">
        <f t="shared" si="2"/>
        <v>1.153</v>
      </c>
      <c r="N28">
        <f t="shared" si="0"/>
        <v>178</v>
      </c>
      <c r="O28">
        <f t="shared" si="1"/>
        <v>18</v>
      </c>
    </row>
    <row r="29" spans="1:16" x14ac:dyDescent="0.45">
      <c r="A29" t="s">
        <v>39</v>
      </c>
      <c r="B29" t="s">
        <v>159</v>
      </c>
      <c r="C29" t="s">
        <v>250</v>
      </c>
      <c r="D29" t="s">
        <v>255</v>
      </c>
      <c r="E29" t="s">
        <v>262</v>
      </c>
      <c r="F29">
        <v>2</v>
      </c>
      <c r="G29">
        <v>1</v>
      </c>
      <c r="H29">
        <v>3</v>
      </c>
      <c r="I29">
        <v>4</v>
      </c>
      <c r="J29">
        <v>2</v>
      </c>
      <c r="L29">
        <v>11.53</v>
      </c>
      <c r="M29">
        <f t="shared" si="2"/>
        <v>1.153</v>
      </c>
      <c r="N29">
        <f t="shared" si="0"/>
        <v>178</v>
      </c>
      <c r="O29">
        <f t="shared" si="1"/>
        <v>18</v>
      </c>
    </row>
    <row r="30" spans="1:16" x14ac:dyDescent="0.45">
      <c r="A30" t="s">
        <v>40</v>
      </c>
      <c r="B30" t="s">
        <v>160</v>
      </c>
      <c r="C30" t="s">
        <v>250</v>
      </c>
      <c r="D30" t="s">
        <v>256</v>
      </c>
      <c r="E30" t="s">
        <v>262</v>
      </c>
      <c r="F30">
        <v>1</v>
      </c>
      <c r="G30">
        <v>1</v>
      </c>
      <c r="H30">
        <v>2</v>
      </c>
      <c r="L30">
        <v>11.53</v>
      </c>
      <c r="M30">
        <f t="shared" si="2"/>
        <v>1.153</v>
      </c>
      <c r="N30">
        <f t="shared" si="0"/>
        <v>178</v>
      </c>
      <c r="O30">
        <f t="shared" si="1"/>
        <v>18</v>
      </c>
    </row>
    <row r="31" spans="1:16" x14ac:dyDescent="0.45">
      <c r="A31" t="s">
        <v>41</v>
      </c>
      <c r="B31" t="s">
        <v>161</v>
      </c>
      <c r="C31" t="s">
        <v>250</v>
      </c>
      <c r="D31" t="s">
        <v>257</v>
      </c>
      <c r="E31" t="s">
        <v>262</v>
      </c>
      <c r="F31">
        <v>2</v>
      </c>
      <c r="G31">
        <v>1</v>
      </c>
      <c r="H31">
        <v>3</v>
      </c>
      <c r="L31">
        <v>11.53</v>
      </c>
      <c r="M31">
        <f t="shared" si="2"/>
        <v>1.153</v>
      </c>
      <c r="N31">
        <f t="shared" si="0"/>
        <v>178</v>
      </c>
      <c r="O31">
        <f t="shared" si="1"/>
        <v>18</v>
      </c>
    </row>
    <row r="32" spans="1:16" x14ac:dyDescent="0.45">
      <c r="A32" t="s">
        <v>42</v>
      </c>
      <c r="B32" t="s">
        <v>162</v>
      </c>
      <c r="C32" t="s">
        <v>250</v>
      </c>
      <c r="D32" t="s">
        <v>255</v>
      </c>
      <c r="E32" t="s">
        <v>263</v>
      </c>
      <c r="F32">
        <v>2</v>
      </c>
      <c r="G32">
        <v>1</v>
      </c>
      <c r="H32">
        <v>3</v>
      </c>
      <c r="I32">
        <v>5</v>
      </c>
      <c r="J32">
        <v>4</v>
      </c>
      <c r="L32">
        <v>4.38</v>
      </c>
      <c r="M32">
        <f t="shared" si="2"/>
        <v>0.438</v>
      </c>
      <c r="N32">
        <f t="shared" si="0"/>
        <v>68</v>
      </c>
      <c r="O32">
        <f t="shared" si="1"/>
        <v>7</v>
      </c>
    </row>
    <row r="33" spans="1:16" x14ac:dyDescent="0.45">
      <c r="A33" t="s">
        <v>43</v>
      </c>
      <c r="B33" t="s">
        <v>163</v>
      </c>
      <c r="C33" t="s">
        <v>250</v>
      </c>
      <c r="D33" t="s">
        <v>256</v>
      </c>
      <c r="E33" t="s">
        <v>263</v>
      </c>
      <c r="F33">
        <v>2</v>
      </c>
      <c r="G33">
        <v>3</v>
      </c>
      <c r="H33">
        <v>5</v>
      </c>
      <c r="L33">
        <v>4.38</v>
      </c>
      <c r="M33">
        <f t="shared" si="2"/>
        <v>0.438</v>
      </c>
      <c r="N33">
        <f t="shared" si="0"/>
        <v>68</v>
      </c>
      <c r="O33">
        <f t="shared" si="1"/>
        <v>7</v>
      </c>
    </row>
    <row r="34" spans="1:16" x14ac:dyDescent="0.45">
      <c r="A34" t="s">
        <v>44</v>
      </c>
      <c r="B34" t="s">
        <v>164</v>
      </c>
      <c r="C34" t="s">
        <v>250</v>
      </c>
      <c r="D34" t="s">
        <v>257</v>
      </c>
      <c r="E34" t="s">
        <v>263</v>
      </c>
      <c r="F34">
        <v>2</v>
      </c>
      <c r="G34">
        <v>3</v>
      </c>
      <c r="H34">
        <v>5</v>
      </c>
      <c r="L34">
        <v>4.38</v>
      </c>
      <c r="M34">
        <f t="shared" si="2"/>
        <v>0.438</v>
      </c>
      <c r="N34">
        <f t="shared" si="0"/>
        <v>68</v>
      </c>
      <c r="O34">
        <f t="shared" si="1"/>
        <v>7</v>
      </c>
    </row>
    <row r="35" spans="1:16" x14ac:dyDescent="0.45">
      <c r="A35" t="s">
        <v>45</v>
      </c>
      <c r="B35" t="s">
        <v>165</v>
      </c>
      <c r="C35" t="s">
        <v>250</v>
      </c>
      <c r="D35" t="s">
        <v>259</v>
      </c>
      <c r="E35" t="s">
        <v>263</v>
      </c>
      <c r="F35">
        <v>2</v>
      </c>
      <c r="G35">
        <v>3</v>
      </c>
      <c r="H35">
        <v>5</v>
      </c>
      <c r="I35">
        <v>5</v>
      </c>
      <c r="J35">
        <v>5</v>
      </c>
      <c r="L35">
        <v>4.38</v>
      </c>
      <c r="M35">
        <f t="shared" si="2"/>
        <v>0.438</v>
      </c>
      <c r="N35">
        <f t="shared" si="0"/>
        <v>68</v>
      </c>
      <c r="O35">
        <f t="shared" si="1"/>
        <v>7</v>
      </c>
    </row>
    <row r="36" spans="1:16" x14ac:dyDescent="0.45">
      <c r="A36" t="s">
        <v>46</v>
      </c>
      <c r="B36" t="s">
        <v>166</v>
      </c>
      <c r="C36" t="s">
        <v>250</v>
      </c>
      <c r="D36" t="s">
        <v>255</v>
      </c>
      <c r="E36" t="s">
        <v>264</v>
      </c>
      <c r="F36">
        <v>2</v>
      </c>
      <c r="G36">
        <v>3</v>
      </c>
      <c r="H36">
        <v>5</v>
      </c>
      <c r="I36">
        <v>7</v>
      </c>
      <c r="J36">
        <v>7</v>
      </c>
      <c r="L36">
        <v>1.04</v>
      </c>
      <c r="M36">
        <f t="shared" si="2"/>
        <v>0.10400000000000001</v>
      </c>
      <c r="N36">
        <f t="shared" si="0"/>
        <v>16</v>
      </c>
      <c r="O36">
        <f t="shared" si="1"/>
        <v>2</v>
      </c>
    </row>
    <row r="37" spans="1:16" x14ac:dyDescent="0.45">
      <c r="A37" t="s">
        <v>47</v>
      </c>
      <c r="B37" t="s">
        <v>167</v>
      </c>
      <c r="C37" t="s">
        <v>250</v>
      </c>
      <c r="D37" t="s">
        <v>256</v>
      </c>
      <c r="E37" t="s">
        <v>264</v>
      </c>
      <c r="F37">
        <v>2</v>
      </c>
      <c r="G37">
        <v>4</v>
      </c>
      <c r="H37">
        <v>6</v>
      </c>
      <c r="L37">
        <v>1.04</v>
      </c>
      <c r="M37">
        <f t="shared" si="2"/>
        <v>0.10400000000000001</v>
      </c>
      <c r="N37">
        <f t="shared" si="0"/>
        <v>16</v>
      </c>
      <c r="O37">
        <f t="shared" si="1"/>
        <v>2</v>
      </c>
    </row>
    <row r="38" spans="1:16" x14ac:dyDescent="0.45">
      <c r="A38" t="s">
        <v>48</v>
      </c>
      <c r="B38" t="s">
        <v>168</v>
      </c>
      <c r="C38" t="s">
        <v>250</v>
      </c>
      <c r="D38" t="s">
        <v>257</v>
      </c>
      <c r="E38" t="s">
        <v>264</v>
      </c>
      <c r="F38">
        <v>2</v>
      </c>
      <c r="G38">
        <v>4</v>
      </c>
      <c r="H38">
        <v>6</v>
      </c>
      <c r="L38">
        <v>1.04</v>
      </c>
      <c r="M38">
        <f t="shared" si="2"/>
        <v>0.10400000000000001</v>
      </c>
      <c r="N38">
        <f t="shared" si="0"/>
        <v>16</v>
      </c>
      <c r="O38">
        <f t="shared" si="1"/>
        <v>2</v>
      </c>
    </row>
    <row r="39" spans="1:16" x14ac:dyDescent="0.45">
      <c r="A39" t="s">
        <v>49</v>
      </c>
      <c r="B39" t="s">
        <v>169</v>
      </c>
      <c r="C39" t="s">
        <v>250</v>
      </c>
      <c r="D39" t="s">
        <v>260</v>
      </c>
      <c r="E39" t="s">
        <v>265</v>
      </c>
      <c r="F39">
        <v>0</v>
      </c>
      <c r="G39">
        <v>0</v>
      </c>
      <c r="H39">
        <v>0</v>
      </c>
      <c r="L39">
        <v>10</v>
      </c>
      <c r="M39">
        <f t="shared" si="2"/>
        <v>1</v>
      </c>
      <c r="N39">
        <f t="shared" si="0"/>
        <v>154</v>
      </c>
      <c r="O39">
        <f t="shared" si="1"/>
        <v>16</v>
      </c>
      <c r="P39">
        <f>N39</f>
        <v>154</v>
      </c>
    </row>
    <row r="40" spans="1:16" x14ac:dyDescent="0.45">
      <c r="A40" t="s">
        <v>50</v>
      </c>
      <c r="B40" t="s">
        <v>170</v>
      </c>
      <c r="C40" t="s">
        <v>250</v>
      </c>
      <c r="D40" t="s">
        <v>260</v>
      </c>
      <c r="E40" t="s">
        <v>265</v>
      </c>
      <c r="F40">
        <v>0</v>
      </c>
      <c r="G40">
        <v>0</v>
      </c>
      <c r="H40">
        <v>0</v>
      </c>
      <c r="L40">
        <v>10</v>
      </c>
      <c r="M40">
        <f t="shared" si="2"/>
        <v>1</v>
      </c>
      <c r="N40">
        <f t="shared" si="0"/>
        <v>154</v>
      </c>
      <c r="O40">
        <f t="shared" si="1"/>
        <v>16</v>
      </c>
      <c r="P40">
        <f>N40</f>
        <v>154</v>
      </c>
    </row>
    <row r="41" spans="1:16" x14ac:dyDescent="0.45">
      <c r="A41" t="s">
        <v>51</v>
      </c>
      <c r="B41" t="s">
        <v>171</v>
      </c>
      <c r="C41" t="s">
        <v>251</v>
      </c>
      <c r="D41" t="s">
        <v>255</v>
      </c>
      <c r="E41" t="s">
        <v>261</v>
      </c>
      <c r="F41">
        <v>1</v>
      </c>
      <c r="G41">
        <v>0</v>
      </c>
      <c r="H41">
        <v>1</v>
      </c>
      <c r="I41">
        <v>3</v>
      </c>
      <c r="J41">
        <v>3</v>
      </c>
      <c r="L41">
        <v>18.37</v>
      </c>
      <c r="M41">
        <f t="shared" si="2"/>
        <v>1.8370000000000002</v>
      </c>
      <c r="N41">
        <f t="shared" si="0"/>
        <v>283</v>
      </c>
      <c r="O41">
        <f t="shared" si="1"/>
        <v>29</v>
      </c>
    </row>
    <row r="42" spans="1:16" x14ac:dyDescent="0.45">
      <c r="A42" t="s">
        <v>52</v>
      </c>
      <c r="B42" t="s">
        <v>172</v>
      </c>
      <c r="C42" t="s">
        <v>251</v>
      </c>
      <c r="D42" t="s">
        <v>255</v>
      </c>
      <c r="E42" t="s">
        <v>261</v>
      </c>
      <c r="F42">
        <v>1</v>
      </c>
      <c r="G42">
        <v>0</v>
      </c>
      <c r="H42">
        <v>1</v>
      </c>
      <c r="I42">
        <v>3</v>
      </c>
      <c r="J42">
        <v>1</v>
      </c>
      <c r="L42">
        <v>18.37</v>
      </c>
      <c r="M42">
        <f t="shared" si="2"/>
        <v>1.8370000000000002</v>
      </c>
      <c r="N42">
        <f t="shared" si="0"/>
        <v>283</v>
      </c>
      <c r="O42">
        <f t="shared" si="1"/>
        <v>29</v>
      </c>
    </row>
    <row r="43" spans="1:16" x14ac:dyDescent="0.45">
      <c r="A43" t="s">
        <v>53</v>
      </c>
      <c r="B43" t="s">
        <v>173</v>
      </c>
      <c r="C43" t="s">
        <v>251</v>
      </c>
      <c r="D43" t="s">
        <v>255</v>
      </c>
      <c r="E43" t="s">
        <v>261</v>
      </c>
      <c r="F43">
        <v>1</v>
      </c>
      <c r="G43">
        <v>1</v>
      </c>
      <c r="H43">
        <v>2</v>
      </c>
      <c r="I43">
        <v>2</v>
      </c>
      <c r="J43">
        <v>1</v>
      </c>
      <c r="L43">
        <v>18.37</v>
      </c>
      <c r="M43">
        <f t="shared" si="2"/>
        <v>1.8370000000000002</v>
      </c>
      <c r="N43">
        <f t="shared" si="0"/>
        <v>283</v>
      </c>
      <c r="O43">
        <f t="shared" si="1"/>
        <v>29</v>
      </c>
    </row>
    <row r="44" spans="1:16" x14ac:dyDescent="0.45">
      <c r="A44" t="s">
        <v>54</v>
      </c>
      <c r="B44" t="s">
        <v>174</v>
      </c>
      <c r="C44" t="s">
        <v>251</v>
      </c>
      <c r="D44" t="s">
        <v>256</v>
      </c>
      <c r="E44" t="s">
        <v>261</v>
      </c>
      <c r="F44">
        <v>1</v>
      </c>
      <c r="G44">
        <v>0</v>
      </c>
      <c r="H44">
        <v>1</v>
      </c>
      <c r="L44">
        <v>18.37</v>
      </c>
      <c r="M44">
        <f t="shared" si="2"/>
        <v>1.8370000000000002</v>
      </c>
      <c r="N44">
        <f t="shared" si="0"/>
        <v>283</v>
      </c>
      <c r="O44">
        <f t="shared" si="1"/>
        <v>29</v>
      </c>
    </row>
    <row r="45" spans="1:16" x14ac:dyDescent="0.45">
      <c r="A45" t="s">
        <v>55</v>
      </c>
      <c r="B45" t="s">
        <v>175</v>
      </c>
      <c r="C45" t="s">
        <v>251</v>
      </c>
      <c r="D45" t="s">
        <v>256</v>
      </c>
      <c r="E45" t="s">
        <v>261</v>
      </c>
      <c r="F45">
        <v>2</v>
      </c>
      <c r="G45">
        <v>0</v>
      </c>
      <c r="H45">
        <v>2</v>
      </c>
      <c r="L45">
        <v>18.37</v>
      </c>
      <c r="M45">
        <f t="shared" si="2"/>
        <v>1.8370000000000002</v>
      </c>
      <c r="N45">
        <f t="shared" si="0"/>
        <v>283</v>
      </c>
      <c r="O45">
        <f t="shared" si="1"/>
        <v>29</v>
      </c>
    </row>
    <row r="46" spans="1:16" x14ac:dyDescent="0.45">
      <c r="A46" t="s">
        <v>56</v>
      </c>
      <c r="B46" t="s">
        <v>176</v>
      </c>
      <c r="C46" t="s">
        <v>251</v>
      </c>
      <c r="D46" t="s">
        <v>255</v>
      </c>
      <c r="E46" t="s">
        <v>262</v>
      </c>
      <c r="F46">
        <v>2</v>
      </c>
      <c r="G46">
        <v>2</v>
      </c>
      <c r="H46">
        <v>4</v>
      </c>
      <c r="I46">
        <v>2</v>
      </c>
      <c r="J46">
        <v>3</v>
      </c>
      <c r="L46">
        <v>11.53</v>
      </c>
      <c r="M46">
        <f t="shared" si="2"/>
        <v>1.153</v>
      </c>
      <c r="N46">
        <f t="shared" si="0"/>
        <v>178</v>
      </c>
      <c r="O46">
        <f t="shared" si="1"/>
        <v>18</v>
      </c>
    </row>
    <row r="47" spans="1:16" x14ac:dyDescent="0.45">
      <c r="A47" t="s">
        <v>57</v>
      </c>
      <c r="B47" t="s">
        <v>177</v>
      </c>
      <c r="C47" t="s">
        <v>251</v>
      </c>
      <c r="D47" t="s">
        <v>255</v>
      </c>
      <c r="E47" t="s">
        <v>262</v>
      </c>
      <c r="F47">
        <v>2</v>
      </c>
      <c r="G47">
        <v>1</v>
      </c>
      <c r="H47">
        <v>3</v>
      </c>
      <c r="I47">
        <v>2</v>
      </c>
      <c r="J47">
        <v>4</v>
      </c>
      <c r="L47">
        <v>11.53</v>
      </c>
      <c r="M47">
        <f t="shared" si="2"/>
        <v>1.153</v>
      </c>
      <c r="N47">
        <f t="shared" si="0"/>
        <v>178</v>
      </c>
      <c r="O47">
        <f t="shared" si="1"/>
        <v>18</v>
      </c>
    </row>
    <row r="48" spans="1:16" x14ac:dyDescent="0.45">
      <c r="A48" t="s">
        <v>58</v>
      </c>
      <c r="B48" t="s">
        <v>178</v>
      </c>
      <c r="C48" t="s">
        <v>251</v>
      </c>
      <c r="D48" t="s">
        <v>255</v>
      </c>
      <c r="E48" t="s">
        <v>262</v>
      </c>
      <c r="F48">
        <v>2</v>
      </c>
      <c r="G48">
        <v>2</v>
      </c>
      <c r="H48">
        <v>4</v>
      </c>
      <c r="I48">
        <v>3</v>
      </c>
      <c r="J48">
        <v>4</v>
      </c>
      <c r="L48">
        <v>11.53</v>
      </c>
      <c r="M48">
        <f t="shared" si="2"/>
        <v>1.153</v>
      </c>
      <c r="N48">
        <f t="shared" si="0"/>
        <v>178</v>
      </c>
      <c r="O48">
        <f t="shared" si="1"/>
        <v>18</v>
      </c>
    </row>
    <row r="49" spans="1:16" x14ac:dyDescent="0.45">
      <c r="A49" t="s">
        <v>59</v>
      </c>
      <c r="B49" t="s">
        <v>179</v>
      </c>
      <c r="C49" t="s">
        <v>251</v>
      </c>
      <c r="D49" t="s">
        <v>256</v>
      </c>
      <c r="E49" t="s">
        <v>262</v>
      </c>
      <c r="F49">
        <v>2</v>
      </c>
      <c r="G49">
        <v>1</v>
      </c>
      <c r="H49">
        <v>3</v>
      </c>
      <c r="L49">
        <v>11.53</v>
      </c>
      <c r="M49">
        <f t="shared" si="2"/>
        <v>1.153</v>
      </c>
      <c r="N49">
        <f t="shared" si="0"/>
        <v>178</v>
      </c>
      <c r="O49">
        <f t="shared" si="1"/>
        <v>18</v>
      </c>
    </row>
    <row r="50" spans="1:16" x14ac:dyDescent="0.45">
      <c r="A50" t="s">
        <v>60</v>
      </c>
      <c r="B50" t="s">
        <v>180</v>
      </c>
      <c r="C50" t="s">
        <v>251</v>
      </c>
      <c r="D50" t="s">
        <v>257</v>
      </c>
      <c r="E50" t="s">
        <v>262</v>
      </c>
      <c r="F50">
        <v>2</v>
      </c>
      <c r="G50">
        <v>1</v>
      </c>
      <c r="H50">
        <v>3</v>
      </c>
      <c r="L50">
        <v>11.53</v>
      </c>
      <c r="M50">
        <f t="shared" si="2"/>
        <v>1.153</v>
      </c>
      <c r="N50">
        <f t="shared" si="0"/>
        <v>178</v>
      </c>
      <c r="O50">
        <f t="shared" si="1"/>
        <v>18</v>
      </c>
    </row>
    <row r="51" spans="1:16" x14ac:dyDescent="0.45">
      <c r="A51" t="s">
        <v>61</v>
      </c>
      <c r="B51" t="s">
        <v>181</v>
      </c>
      <c r="C51" t="s">
        <v>251</v>
      </c>
      <c r="D51" t="s">
        <v>255</v>
      </c>
      <c r="E51" t="s">
        <v>263</v>
      </c>
      <c r="F51">
        <v>2</v>
      </c>
      <c r="G51">
        <v>2</v>
      </c>
      <c r="H51">
        <v>4</v>
      </c>
      <c r="I51">
        <v>3</v>
      </c>
      <c r="J51">
        <v>3</v>
      </c>
      <c r="L51">
        <v>4.38</v>
      </c>
      <c r="M51">
        <f t="shared" si="2"/>
        <v>0.438</v>
      </c>
      <c r="N51">
        <f t="shared" si="0"/>
        <v>68</v>
      </c>
      <c r="O51">
        <f t="shared" si="1"/>
        <v>7</v>
      </c>
    </row>
    <row r="52" spans="1:16" x14ac:dyDescent="0.45">
      <c r="A52" t="s">
        <v>62</v>
      </c>
      <c r="B52" t="s">
        <v>182</v>
      </c>
      <c r="C52" t="s">
        <v>251</v>
      </c>
      <c r="D52" t="s">
        <v>258</v>
      </c>
      <c r="E52" t="s">
        <v>263</v>
      </c>
      <c r="F52">
        <v>2</v>
      </c>
      <c r="G52">
        <v>1</v>
      </c>
      <c r="H52">
        <v>3</v>
      </c>
      <c r="I52">
        <v>3</v>
      </c>
      <c r="J52">
        <v>3</v>
      </c>
      <c r="L52">
        <v>4.38</v>
      </c>
      <c r="M52">
        <f t="shared" si="2"/>
        <v>0.438</v>
      </c>
      <c r="N52">
        <f t="shared" si="0"/>
        <v>68</v>
      </c>
      <c r="O52">
        <f t="shared" si="1"/>
        <v>7</v>
      </c>
    </row>
    <row r="53" spans="1:16" x14ac:dyDescent="0.45">
      <c r="A53" t="s">
        <v>63</v>
      </c>
      <c r="B53" t="s">
        <v>183</v>
      </c>
      <c r="C53" t="s">
        <v>251</v>
      </c>
      <c r="D53" t="s">
        <v>256</v>
      </c>
      <c r="E53" t="s">
        <v>263</v>
      </c>
      <c r="F53">
        <v>2</v>
      </c>
      <c r="G53">
        <v>3</v>
      </c>
      <c r="H53">
        <v>5</v>
      </c>
      <c r="L53">
        <v>4.38</v>
      </c>
      <c r="M53">
        <f t="shared" si="2"/>
        <v>0.438</v>
      </c>
      <c r="N53">
        <f t="shared" si="0"/>
        <v>68</v>
      </c>
      <c r="O53">
        <f t="shared" si="1"/>
        <v>7</v>
      </c>
    </row>
    <row r="54" spans="1:16" x14ac:dyDescent="0.45">
      <c r="A54" t="s">
        <v>64</v>
      </c>
      <c r="B54" t="s">
        <v>184</v>
      </c>
      <c r="C54" t="s">
        <v>251</v>
      </c>
      <c r="D54" t="s">
        <v>257</v>
      </c>
      <c r="E54" t="s">
        <v>263</v>
      </c>
      <c r="F54">
        <v>2</v>
      </c>
      <c r="G54">
        <v>3</v>
      </c>
      <c r="H54">
        <v>5</v>
      </c>
      <c r="L54">
        <v>4.38</v>
      </c>
      <c r="M54">
        <f t="shared" si="2"/>
        <v>0.438</v>
      </c>
      <c r="N54">
        <f t="shared" si="0"/>
        <v>68</v>
      </c>
      <c r="O54">
        <f t="shared" si="1"/>
        <v>7</v>
      </c>
    </row>
    <row r="55" spans="1:16" x14ac:dyDescent="0.45">
      <c r="A55" t="s">
        <v>65</v>
      </c>
      <c r="B55" t="s">
        <v>185</v>
      </c>
      <c r="C55" t="s">
        <v>251</v>
      </c>
      <c r="D55" t="s">
        <v>259</v>
      </c>
      <c r="E55" t="s">
        <v>263</v>
      </c>
      <c r="F55">
        <v>2</v>
      </c>
      <c r="G55">
        <v>3</v>
      </c>
      <c r="H55">
        <v>5</v>
      </c>
      <c r="I55">
        <v>3</v>
      </c>
      <c r="J55">
        <v>3</v>
      </c>
      <c r="L55">
        <v>4.38</v>
      </c>
      <c r="M55">
        <f t="shared" si="2"/>
        <v>0.438</v>
      </c>
      <c r="N55">
        <f t="shared" si="0"/>
        <v>68</v>
      </c>
      <c r="O55">
        <f t="shared" si="1"/>
        <v>7</v>
      </c>
    </row>
    <row r="56" spans="1:16" x14ac:dyDescent="0.45">
      <c r="A56" t="s">
        <v>66</v>
      </c>
      <c r="B56" t="s">
        <v>186</v>
      </c>
      <c r="C56" t="s">
        <v>251</v>
      </c>
      <c r="D56" t="s">
        <v>255</v>
      </c>
      <c r="E56" t="s">
        <v>264</v>
      </c>
      <c r="F56">
        <v>2</v>
      </c>
      <c r="G56">
        <v>4</v>
      </c>
      <c r="H56">
        <v>6</v>
      </c>
      <c r="I56">
        <v>4</v>
      </c>
      <c r="J56">
        <v>7</v>
      </c>
      <c r="L56">
        <v>1.04</v>
      </c>
      <c r="M56">
        <f t="shared" si="2"/>
        <v>0.10400000000000001</v>
      </c>
      <c r="N56">
        <f t="shared" si="0"/>
        <v>16</v>
      </c>
      <c r="O56">
        <f t="shared" si="1"/>
        <v>2</v>
      </c>
    </row>
    <row r="57" spans="1:16" x14ac:dyDescent="0.45">
      <c r="A57" t="s">
        <v>67</v>
      </c>
      <c r="B57" t="s">
        <v>187</v>
      </c>
      <c r="C57" t="s">
        <v>251</v>
      </c>
      <c r="D57" t="s">
        <v>256</v>
      </c>
      <c r="E57" t="s">
        <v>264</v>
      </c>
      <c r="F57">
        <v>2</v>
      </c>
      <c r="G57">
        <v>2</v>
      </c>
      <c r="H57">
        <v>4</v>
      </c>
      <c r="L57">
        <v>1.04</v>
      </c>
      <c r="M57">
        <f t="shared" si="2"/>
        <v>0.10400000000000001</v>
      </c>
      <c r="N57">
        <f t="shared" si="0"/>
        <v>16</v>
      </c>
      <c r="O57">
        <f t="shared" si="1"/>
        <v>2</v>
      </c>
    </row>
    <row r="58" spans="1:16" x14ac:dyDescent="0.45">
      <c r="A58" t="s">
        <v>68</v>
      </c>
      <c r="B58" t="s">
        <v>188</v>
      </c>
      <c r="C58" t="s">
        <v>251</v>
      </c>
      <c r="D58" t="s">
        <v>257</v>
      </c>
      <c r="E58" t="s">
        <v>264</v>
      </c>
      <c r="F58">
        <v>2</v>
      </c>
      <c r="G58">
        <v>4</v>
      </c>
      <c r="H58">
        <v>6</v>
      </c>
      <c r="L58">
        <v>1.04</v>
      </c>
      <c r="M58">
        <f t="shared" si="2"/>
        <v>0.10400000000000001</v>
      </c>
      <c r="N58">
        <f t="shared" si="0"/>
        <v>16</v>
      </c>
      <c r="O58">
        <f t="shared" si="1"/>
        <v>2</v>
      </c>
    </row>
    <row r="59" spans="1:16" x14ac:dyDescent="0.45">
      <c r="A59" t="s">
        <v>69</v>
      </c>
      <c r="B59" t="s">
        <v>189</v>
      </c>
      <c r="C59" t="s">
        <v>251</v>
      </c>
      <c r="D59" t="s">
        <v>260</v>
      </c>
      <c r="E59" t="s">
        <v>265</v>
      </c>
      <c r="F59">
        <v>0</v>
      </c>
      <c r="G59">
        <v>0</v>
      </c>
      <c r="H59">
        <v>0</v>
      </c>
      <c r="L59">
        <v>10</v>
      </c>
      <c r="M59">
        <f t="shared" si="2"/>
        <v>1</v>
      </c>
      <c r="N59">
        <f t="shared" si="0"/>
        <v>154</v>
      </c>
      <c r="O59">
        <f t="shared" si="1"/>
        <v>16</v>
      </c>
      <c r="P59">
        <f>N59</f>
        <v>154</v>
      </c>
    </row>
    <row r="60" spans="1:16" x14ac:dyDescent="0.45">
      <c r="A60" t="s">
        <v>70</v>
      </c>
      <c r="B60" t="s">
        <v>190</v>
      </c>
      <c r="C60" t="s">
        <v>251</v>
      </c>
      <c r="D60" t="s">
        <v>260</v>
      </c>
      <c r="E60" t="s">
        <v>265</v>
      </c>
      <c r="F60">
        <v>0</v>
      </c>
      <c r="G60">
        <v>0</v>
      </c>
      <c r="H60">
        <v>0</v>
      </c>
      <c r="L60">
        <v>10</v>
      </c>
      <c r="M60">
        <f t="shared" si="2"/>
        <v>1</v>
      </c>
      <c r="N60">
        <f t="shared" si="0"/>
        <v>154</v>
      </c>
      <c r="O60">
        <f t="shared" si="1"/>
        <v>16</v>
      </c>
      <c r="P60">
        <f>N60</f>
        <v>154</v>
      </c>
    </row>
    <row r="61" spans="1:16" x14ac:dyDescent="0.45">
      <c r="A61" t="s">
        <v>71</v>
      </c>
      <c r="B61" t="s">
        <v>191</v>
      </c>
      <c r="C61" t="s">
        <v>252</v>
      </c>
      <c r="D61" t="s">
        <v>255</v>
      </c>
      <c r="E61" t="s">
        <v>261</v>
      </c>
      <c r="F61">
        <v>2</v>
      </c>
      <c r="G61">
        <v>0</v>
      </c>
      <c r="H61">
        <v>2</v>
      </c>
      <c r="I61">
        <v>1</v>
      </c>
      <c r="J61">
        <v>3</v>
      </c>
      <c r="L61">
        <v>18.37</v>
      </c>
      <c r="M61">
        <f t="shared" si="2"/>
        <v>1.8370000000000002</v>
      </c>
      <c r="N61">
        <f t="shared" si="0"/>
        <v>283</v>
      </c>
      <c r="O61">
        <f t="shared" si="1"/>
        <v>29</v>
      </c>
    </row>
    <row r="62" spans="1:16" x14ac:dyDescent="0.45">
      <c r="A62" t="s">
        <v>72</v>
      </c>
      <c r="B62" t="s">
        <v>192</v>
      </c>
      <c r="C62" t="s">
        <v>252</v>
      </c>
      <c r="D62" t="s">
        <v>255</v>
      </c>
      <c r="E62" t="s">
        <v>261</v>
      </c>
      <c r="F62">
        <v>1</v>
      </c>
      <c r="G62">
        <v>1</v>
      </c>
      <c r="H62">
        <v>2</v>
      </c>
      <c r="I62">
        <v>2</v>
      </c>
      <c r="J62">
        <v>2</v>
      </c>
      <c r="L62">
        <v>18.37</v>
      </c>
      <c r="M62">
        <f t="shared" si="2"/>
        <v>1.8370000000000002</v>
      </c>
      <c r="N62">
        <f t="shared" si="0"/>
        <v>283</v>
      </c>
      <c r="O62">
        <f t="shared" si="1"/>
        <v>29</v>
      </c>
    </row>
    <row r="63" spans="1:16" x14ac:dyDescent="0.45">
      <c r="A63" t="s">
        <v>73</v>
      </c>
      <c r="B63" t="s">
        <v>193</v>
      </c>
      <c r="C63" t="s">
        <v>252</v>
      </c>
      <c r="D63" t="s">
        <v>255</v>
      </c>
      <c r="E63" t="s">
        <v>261</v>
      </c>
      <c r="F63">
        <v>2</v>
      </c>
      <c r="G63">
        <v>1</v>
      </c>
      <c r="H63">
        <v>3</v>
      </c>
      <c r="I63">
        <v>3</v>
      </c>
      <c r="J63">
        <v>1</v>
      </c>
      <c r="L63">
        <v>18.37</v>
      </c>
      <c r="M63">
        <f t="shared" si="2"/>
        <v>1.8370000000000002</v>
      </c>
      <c r="N63">
        <f t="shared" si="0"/>
        <v>283</v>
      </c>
      <c r="O63">
        <f t="shared" si="1"/>
        <v>29</v>
      </c>
    </row>
    <row r="64" spans="1:16" x14ac:dyDescent="0.45">
      <c r="A64" t="s">
        <v>74</v>
      </c>
      <c r="B64" t="s">
        <v>194</v>
      </c>
      <c r="C64" t="s">
        <v>252</v>
      </c>
      <c r="D64" t="s">
        <v>256</v>
      </c>
      <c r="E64" t="s">
        <v>261</v>
      </c>
      <c r="F64">
        <v>2</v>
      </c>
      <c r="G64">
        <v>0</v>
      </c>
      <c r="H64">
        <v>2</v>
      </c>
      <c r="L64">
        <v>18.37</v>
      </c>
      <c r="M64">
        <f t="shared" si="2"/>
        <v>1.8370000000000002</v>
      </c>
      <c r="N64">
        <f t="shared" si="0"/>
        <v>283</v>
      </c>
      <c r="O64">
        <f t="shared" si="1"/>
        <v>29</v>
      </c>
    </row>
    <row r="65" spans="1:16" x14ac:dyDescent="0.45">
      <c r="A65" t="s">
        <v>75</v>
      </c>
      <c r="B65" t="s">
        <v>195</v>
      </c>
      <c r="C65" t="s">
        <v>252</v>
      </c>
      <c r="D65" t="s">
        <v>256</v>
      </c>
      <c r="E65" t="s">
        <v>261</v>
      </c>
      <c r="F65">
        <v>2</v>
      </c>
      <c r="G65">
        <v>0</v>
      </c>
      <c r="H65">
        <v>2</v>
      </c>
      <c r="L65">
        <v>18.37</v>
      </c>
      <c r="M65">
        <f t="shared" si="2"/>
        <v>1.8370000000000002</v>
      </c>
      <c r="N65">
        <f t="shared" si="0"/>
        <v>283</v>
      </c>
      <c r="O65">
        <f t="shared" si="1"/>
        <v>29</v>
      </c>
    </row>
    <row r="66" spans="1:16" x14ac:dyDescent="0.45">
      <c r="A66" t="s">
        <v>76</v>
      </c>
      <c r="B66" t="s">
        <v>413</v>
      </c>
      <c r="C66" t="s">
        <v>252</v>
      </c>
      <c r="D66" t="s">
        <v>255</v>
      </c>
      <c r="E66" t="s">
        <v>262</v>
      </c>
      <c r="F66">
        <v>2</v>
      </c>
      <c r="G66">
        <v>1</v>
      </c>
      <c r="H66">
        <v>3</v>
      </c>
      <c r="I66">
        <v>3</v>
      </c>
      <c r="J66">
        <v>4</v>
      </c>
      <c r="L66">
        <v>11.53</v>
      </c>
      <c r="M66">
        <f t="shared" si="2"/>
        <v>1.153</v>
      </c>
      <c r="N66">
        <f t="shared" ref="N66:N120" si="3">ROUNDUP(L66/0.065,0)</f>
        <v>178</v>
      </c>
      <c r="O66">
        <f t="shared" ref="O66:O121" si="4">ROUNDUP(M66/0.065,0)</f>
        <v>18</v>
      </c>
    </row>
    <row r="67" spans="1:16" x14ac:dyDescent="0.45">
      <c r="A67" t="s">
        <v>77</v>
      </c>
      <c r="B67" t="s">
        <v>196</v>
      </c>
      <c r="C67" t="s">
        <v>252</v>
      </c>
      <c r="D67" t="s">
        <v>255</v>
      </c>
      <c r="E67" t="s">
        <v>262</v>
      </c>
      <c r="F67">
        <v>1</v>
      </c>
      <c r="G67">
        <v>1</v>
      </c>
      <c r="H67">
        <v>2</v>
      </c>
      <c r="I67">
        <v>4</v>
      </c>
      <c r="J67">
        <v>2</v>
      </c>
      <c r="L67">
        <v>11.53</v>
      </c>
      <c r="M67">
        <f t="shared" ref="M67:M121" si="5">L67/10</f>
        <v>1.153</v>
      </c>
      <c r="N67">
        <f t="shared" si="3"/>
        <v>178</v>
      </c>
      <c r="O67">
        <f t="shared" si="4"/>
        <v>18</v>
      </c>
    </row>
    <row r="68" spans="1:16" x14ac:dyDescent="0.45">
      <c r="A68" t="s">
        <v>78</v>
      </c>
      <c r="B68" t="s">
        <v>197</v>
      </c>
      <c r="C68" t="s">
        <v>252</v>
      </c>
      <c r="D68" t="s">
        <v>255</v>
      </c>
      <c r="E68" t="s">
        <v>262</v>
      </c>
      <c r="F68">
        <v>2</v>
      </c>
      <c r="G68">
        <v>2</v>
      </c>
      <c r="H68">
        <v>4</v>
      </c>
      <c r="I68">
        <v>4</v>
      </c>
      <c r="J68">
        <v>3</v>
      </c>
      <c r="L68">
        <v>11.53</v>
      </c>
      <c r="M68">
        <f t="shared" si="5"/>
        <v>1.153</v>
      </c>
      <c r="N68">
        <f t="shared" si="3"/>
        <v>178</v>
      </c>
      <c r="O68">
        <f t="shared" si="4"/>
        <v>18</v>
      </c>
    </row>
    <row r="69" spans="1:16" x14ac:dyDescent="0.45">
      <c r="A69" t="s">
        <v>79</v>
      </c>
      <c r="B69" t="s">
        <v>198</v>
      </c>
      <c r="C69" t="s">
        <v>252</v>
      </c>
      <c r="D69" t="s">
        <v>256</v>
      </c>
      <c r="E69" t="s">
        <v>262</v>
      </c>
      <c r="F69">
        <v>2</v>
      </c>
      <c r="G69">
        <v>1</v>
      </c>
      <c r="H69">
        <v>3</v>
      </c>
      <c r="L69">
        <v>11.53</v>
      </c>
      <c r="M69">
        <f t="shared" si="5"/>
        <v>1.153</v>
      </c>
      <c r="N69">
        <f t="shared" si="3"/>
        <v>178</v>
      </c>
      <c r="O69">
        <f t="shared" si="4"/>
        <v>18</v>
      </c>
    </row>
    <row r="70" spans="1:16" x14ac:dyDescent="0.45">
      <c r="A70" t="s">
        <v>80</v>
      </c>
      <c r="B70" t="s">
        <v>199</v>
      </c>
      <c r="C70" t="s">
        <v>252</v>
      </c>
      <c r="D70" t="s">
        <v>257</v>
      </c>
      <c r="E70" t="s">
        <v>262</v>
      </c>
      <c r="F70">
        <v>1</v>
      </c>
      <c r="G70">
        <v>1</v>
      </c>
      <c r="H70">
        <v>2</v>
      </c>
      <c r="L70">
        <v>11.53</v>
      </c>
      <c r="M70">
        <f t="shared" si="5"/>
        <v>1.153</v>
      </c>
      <c r="N70">
        <f t="shared" si="3"/>
        <v>178</v>
      </c>
      <c r="O70">
        <f t="shared" si="4"/>
        <v>18</v>
      </c>
    </row>
    <row r="71" spans="1:16" x14ac:dyDescent="0.45">
      <c r="A71" t="s">
        <v>81</v>
      </c>
      <c r="B71" t="s">
        <v>200</v>
      </c>
      <c r="C71" t="s">
        <v>252</v>
      </c>
      <c r="D71" t="s">
        <v>255</v>
      </c>
      <c r="E71" t="s">
        <v>263</v>
      </c>
      <c r="F71">
        <v>2</v>
      </c>
      <c r="G71">
        <v>1</v>
      </c>
      <c r="H71">
        <v>3</v>
      </c>
      <c r="I71">
        <v>3</v>
      </c>
      <c r="J71">
        <v>3</v>
      </c>
      <c r="L71">
        <v>4.38</v>
      </c>
      <c r="M71">
        <f t="shared" si="5"/>
        <v>0.438</v>
      </c>
      <c r="N71">
        <f t="shared" si="3"/>
        <v>68</v>
      </c>
      <c r="O71">
        <f t="shared" si="4"/>
        <v>7</v>
      </c>
    </row>
    <row r="72" spans="1:16" x14ac:dyDescent="0.45">
      <c r="A72" t="s">
        <v>82</v>
      </c>
      <c r="B72" t="s">
        <v>201</v>
      </c>
      <c r="C72" t="s">
        <v>252</v>
      </c>
      <c r="D72" t="s">
        <v>258</v>
      </c>
      <c r="E72" t="s">
        <v>263</v>
      </c>
      <c r="F72">
        <v>2</v>
      </c>
      <c r="G72">
        <v>3</v>
      </c>
      <c r="H72">
        <v>5</v>
      </c>
      <c r="I72">
        <v>3</v>
      </c>
      <c r="J72">
        <v>6</v>
      </c>
      <c r="L72">
        <v>4.38</v>
      </c>
      <c r="M72">
        <f t="shared" si="5"/>
        <v>0.438</v>
      </c>
      <c r="N72">
        <f t="shared" si="3"/>
        <v>68</v>
      </c>
      <c r="O72">
        <f t="shared" si="4"/>
        <v>7</v>
      </c>
    </row>
    <row r="73" spans="1:16" x14ac:dyDescent="0.45">
      <c r="A73" t="s">
        <v>83</v>
      </c>
      <c r="B73" t="s">
        <v>202</v>
      </c>
      <c r="C73" t="s">
        <v>252</v>
      </c>
      <c r="D73" t="s">
        <v>256</v>
      </c>
      <c r="E73" t="s">
        <v>263</v>
      </c>
      <c r="F73">
        <v>2</v>
      </c>
      <c r="G73">
        <v>2</v>
      </c>
      <c r="H73">
        <v>4</v>
      </c>
      <c r="L73">
        <v>4.38</v>
      </c>
      <c r="M73">
        <f t="shared" si="5"/>
        <v>0.438</v>
      </c>
      <c r="N73">
        <f t="shared" si="3"/>
        <v>68</v>
      </c>
      <c r="O73">
        <f t="shared" si="4"/>
        <v>7</v>
      </c>
    </row>
    <row r="74" spans="1:16" x14ac:dyDescent="0.45">
      <c r="A74" t="s">
        <v>84</v>
      </c>
      <c r="B74" t="s">
        <v>203</v>
      </c>
      <c r="C74" t="s">
        <v>252</v>
      </c>
      <c r="D74" t="s">
        <v>257</v>
      </c>
      <c r="E74" t="s">
        <v>263</v>
      </c>
      <c r="F74">
        <v>2</v>
      </c>
      <c r="G74">
        <v>3</v>
      </c>
      <c r="H74">
        <v>5</v>
      </c>
      <c r="L74">
        <v>4.38</v>
      </c>
      <c r="M74">
        <f t="shared" si="5"/>
        <v>0.438</v>
      </c>
      <c r="N74">
        <f t="shared" si="3"/>
        <v>68</v>
      </c>
      <c r="O74">
        <f t="shared" si="4"/>
        <v>7</v>
      </c>
    </row>
    <row r="75" spans="1:16" x14ac:dyDescent="0.45">
      <c r="A75" t="s">
        <v>85</v>
      </c>
      <c r="B75" t="s">
        <v>204</v>
      </c>
      <c r="C75" t="s">
        <v>252</v>
      </c>
      <c r="D75" t="s">
        <v>259</v>
      </c>
      <c r="E75" t="s">
        <v>263</v>
      </c>
      <c r="F75">
        <v>2</v>
      </c>
      <c r="G75">
        <v>2</v>
      </c>
      <c r="H75">
        <v>4</v>
      </c>
      <c r="I75">
        <v>4</v>
      </c>
      <c r="J75">
        <v>6</v>
      </c>
      <c r="L75">
        <v>4.38</v>
      </c>
      <c r="M75">
        <f t="shared" si="5"/>
        <v>0.438</v>
      </c>
      <c r="N75">
        <f t="shared" si="3"/>
        <v>68</v>
      </c>
      <c r="O75">
        <f t="shared" si="4"/>
        <v>7</v>
      </c>
    </row>
    <row r="76" spans="1:16" x14ac:dyDescent="0.45">
      <c r="A76" t="s">
        <v>86</v>
      </c>
      <c r="B76" t="s">
        <v>205</v>
      </c>
      <c r="C76" t="s">
        <v>252</v>
      </c>
      <c r="D76" t="s">
        <v>255</v>
      </c>
      <c r="E76" t="s">
        <v>264</v>
      </c>
      <c r="F76">
        <v>2</v>
      </c>
      <c r="G76">
        <v>2</v>
      </c>
      <c r="H76">
        <v>4</v>
      </c>
      <c r="I76">
        <v>7</v>
      </c>
      <c r="J76">
        <v>8</v>
      </c>
      <c r="L76">
        <v>1.04</v>
      </c>
      <c r="M76">
        <f t="shared" si="5"/>
        <v>0.10400000000000001</v>
      </c>
      <c r="N76">
        <f t="shared" si="3"/>
        <v>16</v>
      </c>
      <c r="O76">
        <f t="shared" si="4"/>
        <v>2</v>
      </c>
    </row>
    <row r="77" spans="1:16" x14ac:dyDescent="0.45">
      <c r="A77" t="s">
        <v>87</v>
      </c>
      <c r="B77" t="s">
        <v>206</v>
      </c>
      <c r="C77" t="s">
        <v>252</v>
      </c>
      <c r="D77" t="s">
        <v>256</v>
      </c>
      <c r="E77" t="s">
        <v>264</v>
      </c>
      <c r="F77">
        <v>2</v>
      </c>
      <c r="G77">
        <v>3</v>
      </c>
      <c r="H77">
        <v>5</v>
      </c>
      <c r="L77">
        <v>1.04</v>
      </c>
      <c r="M77">
        <f t="shared" si="5"/>
        <v>0.10400000000000001</v>
      </c>
      <c r="N77">
        <f t="shared" si="3"/>
        <v>16</v>
      </c>
      <c r="O77">
        <f t="shared" si="4"/>
        <v>2</v>
      </c>
    </row>
    <row r="78" spans="1:16" x14ac:dyDescent="0.45">
      <c r="A78" t="s">
        <v>88</v>
      </c>
      <c r="B78" t="s">
        <v>207</v>
      </c>
      <c r="C78" t="s">
        <v>252</v>
      </c>
      <c r="D78" t="s">
        <v>257</v>
      </c>
      <c r="E78" t="s">
        <v>264</v>
      </c>
      <c r="F78">
        <v>2</v>
      </c>
      <c r="G78">
        <v>2</v>
      </c>
      <c r="H78">
        <v>4</v>
      </c>
      <c r="L78">
        <v>1.04</v>
      </c>
      <c r="M78">
        <f t="shared" si="5"/>
        <v>0.10400000000000001</v>
      </c>
      <c r="N78">
        <f t="shared" si="3"/>
        <v>16</v>
      </c>
      <c r="O78">
        <f t="shared" si="4"/>
        <v>2</v>
      </c>
    </row>
    <row r="79" spans="1:16" x14ac:dyDescent="0.45">
      <c r="A79" t="s">
        <v>89</v>
      </c>
      <c r="B79" t="s">
        <v>208</v>
      </c>
      <c r="C79" t="s">
        <v>252</v>
      </c>
      <c r="D79" t="s">
        <v>260</v>
      </c>
      <c r="E79" t="s">
        <v>265</v>
      </c>
      <c r="F79">
        <v>0</v>
      </c>
      <c r="G79">
        <v>0</v>
      </c>
      <c r="H79">
        <v>0</v>
      </c>
      <c r="L79">
        <v>10</v>
      </c>
      <c r="M79">
        <f t="shared" si="5"/>
        <v>1</v>
      </c>
      <c r="N79">
        <f t="shared" si="3"/>
        <v>154</v>
      </c>
      <c r="O79">
        <f t="shared" si="4"/>
        <v>16</v>
      </c>
      <c r="P79">
        <f>N79</f>
        <v>154</v>
      </c>
    </row>
    <row r="80" spans="1:16" x14ac:dyDescent="0.45">
      <c r="A80" t="s">
        <v>90</v>
      </c>
      <c r="B80" t="s">
        <v>209</v>
      </c>
      <c r="C80" t="s">
        <v>252</v>
      </c>
      <c r="D80" t="s">
        <v>260</v>
      </c>
      <c r="E80" t="s">
        <v>265</v>
      </c>
      <c r="F80">
        <v>0</v>
      </c>
      <c r="G80">
        <v>0</v>
      </c>
      <c r="H80">
        <v>0</v>
      </c>
      <c r="L80">
        <v>10</v>
      </c>
      <c r="M80">
        <f t="shared" si="5"/>
        <v>1</v>
      </c>
      <c r="N80">
        <f t="shared" si="3"/>
        <v>154</v>
      </c>
      <c r="O80">
        <f t="shared" si="4"/>
        <v>16</v>
      </c>
      <c r="P80">
        <f>N80</f>
        <v>154</v>
      </c>
    </row>
    <row r="81" spans="1:15" x14ac:dyDescent="0.45">
      <c r="A81" t="s">
        <v>91</v>
      </c>
      <c r="B81" t="s">
        <v>210</v>
      </c>
      <c r="C81" t="s">
        <v>253</v>
      </c>
      <c r="D81" t="s">
        <v>255</v>
      </c>
      <c r="E81" t="s">
        <v>261</v>
      </c>
      <c r="F81">
        <v>1</v>
      </c>
      <c r="G81">
        <v>1</v>
      </c>
      <c r="H81">
        <v>2</v>
      </c>
      <c r="I81">
        <v>1</v>
      </c>
      <c r="J81">
        <v>3</v>
      </c>
      <c r="L81">
        <v>18.37</v>
      </c>
      <c r="M81">
        <f t="shared" si="5"/>
        <v>1.8370000000000002</v>
      </c>
      <c r="N81">
        <f t="shared" si="3"/>
        <v>283</v>
      </c>
      <c r="O81">
        <f t="shared" si="4"/>
        <v>29</v>
      </c>
    </row>
    <row r="82" spans="1:15" x14ac:dyDescent="0.45">
      <c r="A82" t="s">
        <v>92</v>
      </c>
      <c r="B82" t="s">
        <v>211</v>
      </c>
      <c r="C82" t="s">
        <v>253</v>
      </c>
      <c r="D82" t="s">
        <v>255</v>
      </c>
      <c r="E82" t="s">
        <v>261</v>
      </c>
      <c r="F82">
        <v>2</v>
      </c>
      <c r="G82">
        <v>1</v>
      </c>
      <c r="H82">
        <v>3</v>
      </c>
      <c r="I82">
        <v>1</v>
      </c>
      <c r="J82">
        <v>1</v>
      </c>
      <c r="L82">
        <v>18.37</v>
      </c>
      <c r="M82">
        <f t="shared" si="5"/>
        <v>1.8370000000000002</v>
      </c>
      <c r="N82">
        <f t="shared" si="3"/>
        <v>283</v>
      </c>
      <c r="O82">
        <f t="shared" si="4"/>
        <v>29</v>
      </c>
    </row>
    <row r="83" spans="1:15" x14ac:dyDescent="0.45">
      <c r="A83" t="s">
        <v>93</v>
      </c>
      <c r="B83" t="s">
        <v>212</v>
      </c>
      <c r="C83" t="s">
        <v>253</v>
      </c>
      <c r="D83" t="s">
        <v>255</v>
      </c>
      <c r="E83" t="s">
        <v>261</v>
      </c>
      <c r="F83">
        <v>2</v>
      </c>
      <c r="G83">
        <v>0</v>
      </c>
      <c r="H83">
        <v>2</v>
      </c>
      <c r="I83">
        <v>3</v>
      </c>
      <c r="J83">
        <v>3</v>
      </c>
      <c r="L83">
        <v>18.37</v>
      </c>
      <c r="M83">
        <f t="shared" si="5"/>
        <v>1.8370000000000002</v>
      </c>
      <c r="N83">
        <f t="shared" si="3"/>
        <v>283</v>
      </c>
      <c r="O83">
        <f t="shared" si="4"/>
        <v>29</v>
      </c>
    </row>
    <row r="84" spans="1:15" x14ac:dyDescent="0.45">
      <c r="A84" t="s">
        <v>94</v>
      </c>
      <c r="B84" t="s">
        <v>213</v>
      </c>
      <c r="C84" t="s">
        <v>253</v>
      </c>
      <c r="D84" t="s">
        <v>256</v>
      </c>
      <c r="E84" t="s">
        <v>261</v>
      </c>
      <c r="F84">
        <v>1</v>
      </c>
      <c r="G84">
        <v>1</v>
      </c>
      <c r="H84">
        <v>2</v>
      </c>
      <c r="L84">
        <v>18.37</v>
      </c>
      <c r="M84">
        <f t="shared" si="5"/>
        <v>1.8370000000000002</v>
      </c>
      <c r="N84">
        <f t="shared" si="3"/>
        <v>283</v>
      </c>
      <c r="O84">
        <f t="shared" si="4"/>
        <v>29</v>
      </c>
    </row>
    <row r="85" spans="1:15" x14ac:dyDescent="0.45">
      <c r="A85" t="s">
        <v>95</v>
      </c>
      <c r="B85" t="s">
        <v>214</v>
      </c>
      <c r="C85" t="s">
        <v>253</v>
      </c>
      <c r="D85" t="s">
        <v>256</v>
      </c>
      <c r="E85" t="s">
        <v>261</v>
      </c>
      <c r="F85">
        <v>1</v>
      </c>
      <c r="G85">
        <v>0</v>
      </c>
      <c r="H85">
        <v>1</v>
      </c>
      <c r="L85">
        <v>18.37</v>
      </c>
      <c r="M85">
        <f t="shared" si="5"/>
        <v>1.8370000000000002</v>
      </c>
      <c r="N85">
        <f t="shared" si="3"/>
        <v>283</v>
      </c>
      <c r="O85">
        <f t="shared" si="4"/>
        <v>29</v>
      </c>
    </row>
    <row r="86" spans="1:15" x14ac:dyDescent="0.45">
      <c r="A86" t="s">
        <v>96</v>
      </c>
      <c r="B86" t="s">
        <v>215</v>
      </c>
      <c r="C86" t="s">
        <v>253</v>
      </c>
      <c r="D86" t="s">
        <v>255</v>
      </c>
      <c r="E86" t="s">
        <v>262</v>
      </c>
      <c r="F86">
        <v>2</v>
      </c>
      <c r="G86">
        <v>0</v>
      </c>
      <c r="H86">
        <v>2</v>
      </c>
      <c r="I86">
        <v>3</v>
      </c>
      <c r="J86">
        <v>2</v>
      </c>
      <c r="L86">
        <v>11.53</v>
      </c>
      <c r="M86">
        <f t="shared" si="5"/>
        <v>1.153</v>
      </c>
      <c r="N86">
        <f t="shared" si="3"/>
        <v>178</v>
      </c>
      <c r="O86">
        <f t="shared" si="4"/>
        <v>18</v>
      </c>
    </row>
    <row r="87" spans="1:15" x14ac:dyDescent="0.45">
      <c r="A87" t="s">
        <v>97</v>
      </c>
      <c r="B87" t="s">
        <v>216</v>
      </c>
      <c r="C87" t="s">
        <v>253</v>
      </c>
      <c r="D87" t="s">
        <v>255</v>
      </c>
      <c r="E87" t="s">
        <v>262</v>
      </c>
      <c r="F87">
        <v>2</v>
      </c>
      <c r="G87">
        <v>1</v>
      </c>
      <c r="H87">
        <v>3</v>
      </c>
      <c r="I87">
        <v>3</v>
      </c>
      <c r="J87">
        <v>2</v>
      </c>
      <c r="L87">
        <v>11.53</v>
      </c>
      <c r="M87">
        <f t="shared" si="5"/>
        <v>1.153</v>
      </c>
      <c r="N87">
        <f t="shared" si="3"/>
        <v>178</v>
      </c>
      <c r="O87">
        <f t="shared" si="4"/>
        <v>18</v>
      </c>
    </row>
    <row r="88" spans="1:15" x14ac:dyDescent="0.45">
      <c r="A88" t="s">
        <v>98</v>
      </c>
      <c r="B88" t="s">
        <v>217</v>
      </c>
      <c r="C88" t="s">
        <v>253</v>
      </c>
      <c r="D88" t="s">
        <v>255</v>
      </c>
      <c r="E88" t="s">
        <v>262</v>
      </c>
      <c r="F88">
        <v>2</v>
      </c>
      <c r="G88">
        <v>1</v>
      </c>
      <c r="H88">
        <v>3</v>
      </c>
      <c r="I88">
        <v>3</v>
      </c>
      <c r="J88">
        <v>4</v>
      </c>
      <c r="L88">
        <v>11.53</v>
      </c>
      <c r="M88">
        <f t="shared" si="5"/>
        <v>1.153</v>
      </c>
      <c r="N88">
        <f t="shared" si="3"/>
        <v>178</v>
      </c>
      <c r="O88">
        <f t="shared" si="4"/>
        <v>18</v>
      </c>
    </row>
    <row r="89" spans="1:15" x14ac:dyDescent="0.45">
      <c r="A89" t="s">
        <v>99</v>
      </c>
      <c r="B89" t="s">
        <v>218</v>
      </c>
      <c r="C89" t="s">
        <v>253</v>
      </c>
      <c r="D89" t="s">
        <v>256</v>
      </c>
      <c r="E89" t="s">
        <v>262</v>
      </c>
      <c r="F89">
        <v>2</v>
      </c>
      <c r="G89">
        <v>2</v>
      </c>
      <c r="H89">
        <v>4</v>
      </c>
      <c r="L89">
        <v>11.53</v>
      </c>
      <c r="M89">
        <f t="shared" si="5"/>
        <v>1.153</v>
      </c>
      <c r="N89">
        <f t="shared" si="3"/>
        <v>178</v>
      </c>
      <c r="O89">
        <f t="shared" si="4"/>
        <v>18</v>
      </c>
    </row>
    <row r="90" spans="1:15" x14ac:dyDescent="0.45">
      <c r="A90" t="s">
        <v>100</v>
      </c>
      <c r="B90" t="s">
        <v>219</v>
      </c>
      <c r="C90" t="s">
        <v>253</v>
      </c>
      <c r="D90" t="s">
        <v>257</v>
      </c>
      <c r="E90" t="s">
        <v>262</v>
      </c>
      <c r="F90">
        <v>2</v>
      </c>
      <c r="G90">
        <v>1</v>
      </c>
      <c r="H90">
        <v>3</v>
      </c>
      <c r="L90">
        <v>11.53</v>
      </c>
      <c r="M90">
        <f t="shared" si="5"/>
        <v>1.153</v>
      </c>
      <c r="N90">
        <f t="shared" si="3"/>
        <v>178</v>
      </c>
      <c r="O90">
        <f t="shared" si="4"/>
        <v>18</v>
      </c>
    </row>
    <row r="91" spans="1:15" x14ac:dyDescent="0.45">
      <c r="A91" t="s">
        <v>101</v>
      </c>
      <c r="B91" t="s">
        <v>220</v>
      </c>
      <c r="C91" t="s">
        <v>253</v>
      </c>
      <c r="D91" t="s">
        <v>255</v>
      </c>
      <c r="E91" t="s">
        <v>263</v>
      </c>
      <c r="F91">
        <v>2</v>
      </c>
      <c r="G91">
        <v>2</v>
      </c>
      <c r="H91">
        <v>4</v>
      </c>
      <c r="I91">
        <v>4</v>
      </c>
      <c r="J91">
        <v>4</v>
      </c>
      <c r="L91">
        <v>4.38</v>
      </c>
      <c r="M91">
        <f t="shared" si="5"/>
        <v>0.438</v>
      </c>
      <c r="N91">
        <f t="shared" si="3"/>
        <v>68</v>
      </c>
      <c r="O91">
        <f t="shared" si="4"/>
        <v>7</v>
      </c>
    </row>
    <row r="92" spans="1:15" x14ac:dyDescent="0.45">
      <c r="A92" t="s">
        <v>102</v>
      </c>
      <c r="B92" t="s">
        <v>221</v>
      </c>
      <c r="C92" t="s">
        <v>253</v>
      </c>
      <c r="D92" t="s">
        <v>258</v>
      </c>
      <c r="E92" t="s">
        <v>263</v>
      </c>
      <c r="F92">
        <v>2</v>
      </c>
      <c r="G92">
        <v>3</v>
      </c>
      <c r="H92">
        <v>5</v>
      </c>
      <c r="I92">
        <v>4</v>
      </c>
      <c r="J92">
        <v>4</v>
      </c>
      <c r="L92">
        <v>4.38</v>
      </c>
      <c r="M92">
        <f t="shared" si="5"/>
        <v>0.438</v>
      </c>
      <c r="N92">
        <f t="shared" si="3"/>
        <v>68</v>
      </c>
      <c r="O92">
        <f t="shared" si="4"/>
        <v>7</v>
      </c>
    </row>
    <row r="93" spans="1:15" x14ac:dyDescent="0.45">
      <c r="A93" t="s">
        <v>103</v>
      </c>
      <c r="B93" t="s">
        <v>222</v>
      </c>
      <c r="C93" t="s">
        <v>253</v>
      </c>
      <c r="D93" t="s">
        <v>256</v>
      </c>
      <c r="E93" t="s">
        <v>263</v>
      </c>
      <c r="F93">
        <v>2</v>
      </c>
      <c r="G93">
        <v>2</v>
      </c>
      <c r="H93">
        <v>4</v>
      </c>
      <c r="L93">
        <v>4.38</v>
      </c>
      <c r="M93">
        <f t="shared" si="5"/>
        <v>0.438</v>
      </c>
      <c r="N93">
        <f t="shared" si="3"/>
        <v>68</v>
      </c>
      <c r="O93">
        <f t="shared" si="4"/>
        <v>7</v>
      </c>
    </row>
    <row r="94" spans="1:15" x14ac:dyDescent="0.45">
      <c r="A94" t="s">
        <v>104</v>
      </c>
      <c r="B94" t="s">
        <v>223</v>
      </c>
      <c r="C94" t="s">
        <v>253</v>
      </c>
      <c r="D94" t="s">
        <v>257</v>
      </c>
      <c r="E94" t="s">
        <v>263</v>
      </c>
      <c r="F94">
        <v>2</v>
      </c>
      <c r="G94">
        <v>2</v>
      </c>
      <c r="H94">
        <v>4</v>
      </c>
      <c r="L94">
        <v>4.38</v>
      </c>
      <c r="M94">
        <f t="shared" si="5"/>
        <v>0.438</v>
      </c>
      <c r="N94">
        <f t="shared" si="3"/>
        <v>68</v>
      </c>
      <c r="O94">
        <f t="shared" si="4"/>
        <v>7</v>
      </c>
    </row>
    <row r="95" spans="1:15" x14ac:dyDescent="0.45">
      <c r="A95" t="s">
        <v>105</v>
      </c>
      <c r="B95" t="s">
        <v>224</v>
      </c>
      <c r="C95" t="s">
        <v>253</v>
      </c>
      <c r="D95" t="s">
        <v>259</v>
      </c>
      <c r="E95" t="s">
        <v>263</v>
      </c>
      <c r="F95">
        <v>2</v>
      </c>
      <c r="G95">
        <v>3</v>
      </c>
      <c r="H95">
        <v>5</v>
      </c>
      <c r="I95">
        <v>4</v>
      </c>
      <c r="J95">
        <v>6</v>
      </c>
      <c r="L95">
        <v>4.38</v>
      </c>
      <c r="M95">
        <f t="shared" si="5"/>
        <v>0.438</v>
      </c>
      <c r="N95">
        <f t="shared" si="3"/>
        <v>68</v>
      </c>
      <c r="O95">
        <f t="shared" si="4"/>
        <v>7</v>
      </c>
    </row>
    <row r="96" spans="1:15" x14ac:dyDescent="0.45">
      <c r="A96" t="s">
        <v>106</v>
      </c>
      <c r="B96" t="s">
        <v>225</v>
      </c>
      <c r="C96" t="s">
        <v>253</v>
      </c>
      <c r="D96" t="s">
        <v>255</v>
      </c>
      <c r="E96" t="s">
        <v>264</v>
      </c>
      <c r="F96">
        <v>2</v>
      </c>
      <c r="G96">
        <v>2</v>
      </c>
      <c r="H96">
        <v>4</v>
      </c>
      <c r="I96">
        <v>5</v>
      </c>
      <c r="J96">
        <v>5</v>
      </c>
      <c r="L96">
        <v>1.04</v>
      </c>
      <c r="M96">
        <f t="shared" si="5"/>
        <v>0.10400000000000001</v>
      </c>
      <c r="N96">
        <f t="shared" si="3"/>
        <v>16</v>
      </c>
      <c r="O96">
        <f t="shared" si="4"/>
        <v>2</v>
      </c>
    </row>
    <row r="97" spans="1:16" x14ac:dyDescent="0.45">
      <c r="A97" t="s">
        <v>107</v>
      </c>
      <c r="B97" t="s">
        <v>226</v>
      </c>
      <c r="C97" t="s">
        <v>253</v>
      </c>
      <c r="D97" t="s">
        <v>256</v>
      </c>
      <c r="E97" t="s">
        <v>264</v>
      </c>
      <c r="F97">
        <v>2</v>
      </c>
      <c r="G97">
        <v>4</v>
      </c>
      <c r="H97">
        <v>6</v>
      </c>
      <c r="L97">
        <v>1.04</v>
      </c>
      <c r="M97">
        <f t="shared" si="5"/>
        <v>0.10400000000000001</v>
      </c>
      <c r="N97">
        <f t="shared" si="3"/>
        <v>16</v>
      </c>
      <c r="O97">
        <f t="shared" si="4"/>
        <v>2</v>
      </c>
    </row>
    <row r="98" spans="1:16" x14ac:dyDescent="0.45">
      <c r="A98" t="s">
        <v>108</v>
      </c>
      <c r="B98" t="s">
        <v>227</v>
      </c>
      <c r="C98" t="s">
        <v>253</v>
      </c>
      <c r="D98" t="s">
        <v>257</v>
      </c>
      <c r="E98" t="s">
        <v>264</v>
      </c>
      <c r="F98">
        <v>2</v>
      </c>
      <c r="G98">
        <v>2</v>
      </c>
      <c r="H98">
        <v>4</v>
      </c>
      <c r="L98">
        <v>1.04</v>
      </c>
      <c r="M98">
        <f t="shared" si="5"/>
        <v>0.10400000000000001</v>
      </c>
      <c r="N98">
        <f t="shared" si="3"/>
        <v>16</v>
      </c>
      <c r="O98">
        <f t="shared" si="4"/>
        <v>2</v>
      </c>
    </row>
    <row r="99" spans="1:16" x14ac:dyDescent="0.45">
      <c r="A99" t="s">
        <v>109</v>
      </c>
      <c r="B99" t="s">
        <v>228</v>
      </c>
      <c r="C99" t="s">
        <v>253</v>
      </c>
      <c r="D99" t="s">
        <v>260</v>
      </c>
      <c r="E99" t="s">
        <v>265</v>
      </c>
      <c r="F99">
        <v>0</v>
      </c>
      <c r="G99">
        <v>0</v>
      </c>
      <c r="H99">
        <v>0</v>
      </c>
      <c r="L99">
        <v>10</v>
      </c>
      <c r="M99">
        <f t="shared" si="5"/>
        <v>1</v>
      </c>
      <c r="N99">
        <f t="shared" si="3"/>
        <v>154</v>
      </c>
      <c r="O99">
        <f t="shared" si="4"/>
        <v>16</v>
      </c>
      <c r="P99">
        <f>N99</f>
        <v>154</v>
      </c>
    </row>
    <row r="100" spans="1:16" x14ac:dyDescent="0.45">
      <c r="A100" t="s">
        <v>110</v>
      </c>
      <c r="B100" t="s">
        <v>229</v>
      </c>
      <c r="C100" t="s">
        <v>253</v>
      </c>
      <c r="D100" t="s">
        <v>260</v>
      </c>
      <c r="E100" t="s">
        <v>265</v>
      </c>
      <c r="F100">
        <v>0</v>
      </c>
      <c r="G100">
        <v>0</v>
      </c>
      <c r="H100">
        <v>0</v>
      </c>
      <c r="L100">
        <v>10</v>
      </c>
      <c r="M100">
        <f t="shared" si="5"/>
        <v>1</v>
      </c>
      <c r="N100">
        <f t="shared" si="3"/>
        <v>154</v>
      </c>
      <c r="O100">
        <f t="shared" si="4"/>
        <v>16</v>
      </c>
      <c r="P100">
        <f>N100</f>
        <v>154</v>
      </c>
    </row>
    <row r="101" spans="1:16" x14ac:dyDescent="0.45">
      <c r="A101" t="s">
        <v>111</v>
      </c>
      <c r="B101" t="s">
        <v>230</v>
      </c>
      <c r="C101" t="s">
        <v>254</v>
      </c>
      <c r="D101" t="s">
        <v>255</v>
      </c>
      <c r="E101" t="s">
        <v>261</v>
      </c>
      <c r="F101">
        <v>1</v>
      </c>
      <c r="G101">
        <v>1</v>
      </c>
      <c r="H101">
        <v>2</v>
      </c>
      <c r="I101">
        <v>3</v>
      </c>
      <c r="J101">
        <v>3</v>
      </c>
      <c r="L101">
        <v>18.37</v>
      </c>
      <c r="M101">
        <f t="shared" si="5"/>
        <v>1.8370000000000002</v>
      </c>
      <c r="N101">
        <f t="shared" si="3"/>
        <v>283</v>
      </c>
      <c r="O101">
        <f t="shared" si="4"/>
        <v>29</v>
      </c>
    </row>
    <row r="102" spans="1:16" x14ac:dyDescent="0.45">
      <c r="A102" t="s">
        <v>112</v>
      </c>
      <c r="B102" t="s">
        <v>231</v>
      </c>
      <c r="C102" t="s">
        <v>254</v>
      </c>
      <c r="D102" t="s">
        <v>256</v>
      </c>
      <c r="E102" t="s">
        <v>261</v>
      </c>
      <c r="F102">
        <v>1</v>
      </c>
      <c r="G102">
        <v>1</v>
      </c>
      <c r="H102">
        <v>2</v>
      </c>
      <c r="L102">
        <v>18.37</v>
      </c>
      <c r="M102">
        <f t="shared" si="5"/>
        <v>1.8370000000000002</v>
      </c>
      <c r="N102">
        <f t="shared" si="3"/>
        <v>283</v>
      </c>
      <c r="O102">
        <f t="shared" si="4"/>
        <v>29</v>
      </c>
    </row>
    <row r="103" spans="1:16" x14ac:dyDescent="0.45">
      <c r="A103" t="s">
        <v>113</v>
      </c>
      <c r="B103" t="s">
        <v>232</v>
      </c>
      <c r="C103" t="s">
        <v>254</v>
      </c>
      <c r="D103" t="s">
        <v>258</v>
      </c>
      <c r="E103" t="s">
        <v>261</v>
      </c>
      <c r="F103">
        <v>1</v>
      </c>
      <c r="G103">
        <v>0</v>
      </c>
      <c r="H103">
        <v>1</v>
      </c>
      <c r="I103">
        <v>1</v>
      </c>
      <c r="J103">
        <v>1</v>
      </c>
      <c r="L103">
        <v>18.37</v>
      </c>
      <c r="M103">
        <f t="shared" si="5"/>
        <v>1.8370000000000002</v>
      </c>
      <c r="N103">
        <f t="shared" si="3"/>
        <v>283</v>
      </c>
      <c r="O103">
        <f t="shared" si="4"/>
        <v>29</v>
      </c>
    </row>
    <row r="104" spans="1:16" x14ac:dyDescent="0.45">
      <c r="A104" t="s">
        <v>114</v>
      </c>
      <c r="B104" t="s">
        <v>233</v>
      </c>
      <c r="C104" t="s">
        <v>254</v>
      </c>
      <c r="D104" t="s">
        <v>255</v>
      </c>
      <c r="E104" t="s">
        <v>262</v>
      </c>
      <c r="F104">
        <v>2</v>
      </c>
      <c r="G104">
        <v>1</v>
      </c>
      <c r="H104">
        <v>3</v>
      </c>
      <c r="I104">
        <v>2</v>
      </c>
      <c r="J104">
        <v>2</v>
      </c>
      <c r="L104">
        <v>11.53</v>
      </c>
      <c r="M104">
        <f t="shared" si="5"/>
        <v>1.153</v>
      </c>
      <c r="N104">
        <f t="shared" si="3"/>
        <v>178</v>
      </c>
      <c r="O104">
        <f t="shared" si="4"/>
        <v>18</v>
      </c>
    </row>
    <row r="105" spans="1:16" x14ac:dyDescent="0.45">
      <c r="A105" t="s">
        <v>115</v>
      </c>
      <c r="B105" t="s">
        <v>234</v>
      </c>
      <c r="C105" t="s">
        <v>254</v>
      </c>
      <c r="D105" t="s">
        <v>256</v>
      </c>
      <c r="E105" t="s">
        <v>262</v>
      </c>
      <c r="F105">
        <v>3</v>
      </c>
      <c r="G105">
        <v>1</v>
      </c>
      <c r="H105">
        <v>4</v>
      </c>
      <c r="L105">
        <v>11.53</v>
      </c>
      <c r="M105">
        <f t="shared" si="5"/>
        <v>1.153</v>
      </c>
      <c r="N105">
        <f t="shared" si="3"/>
        <v>178</v>
      </c>
      <c r="O105">
        <f t="shared" si="4"/>
        <v>18</v>
      </c>
    </row>
    <row r="106" spans="1:16" x14ac:dyDescent="0.45">
      <c r="A106" t="s">
        <v>116</v>
      </c>
      <c r="B106" t="s">
        <v>396</v>
      </c>
      <c r="C106" t="s">
        <v>254</v>
      </c>
      <c r="D106" t="s">
        <v>255</v>
      </c>
      <c r="E106" t="s">
        <v>262</v>
      </c>
      <c r="F106">
        <v>2</v>
      </c>
      <c r="G106">
        <v>1</v>
      </c>
      <c r="H106">
        <v>3</v>
      </c>
      <c r="I106">
        <v>3</v>
      </c>
      <c r="J106">
        <v>2</v>
      </c>
      <c r="K106" t="s">
        <v>267</v>
      </c>
      <c r="L106">
        <v>11.53</v>
      </c>
      <c r="M106">
        <f t="shared" si="5"/>
        <v>1.153</v>
      </c>
      <c r="N106">
        <f t="shared" si="3"/>
        <v>178</v>
      </c>
      <c r="O106">
        <f t="shared" si="4"/>
        <v>18</v>
      </c>
    </row>
    <row r="107" spans="1:16" x14ac:dyDescent="0.45">
      <c r="A107" t="s">
        <v>117</v>
      </c>
      <c r="B107" t="s">
        <v>235</v>
      </c>
      <c r="C107" t="s">
        <v>254</v>
      </c>
      <c r="D107" t="s">
        <v>255</v>
      </c>
      <c r="E107" t="s">
        <v>263</v>
      </c>
      <c r="F107">
        <v>3</v>
      </c>
      <c r="G107">
        <v>1</v>
      </c>
      <c r="H107">
        <v>4</v>
      </c>
      <c r="I107">
        <v>4</v>
      </c>
      <c r="J107">
        <v>6</v>
      </c>
      <c r="L107">
        <v>4.38</v>
      </c>
      <c r="M107">
        <f t="shared" si="5"/>
        <v>0.438</v>
      </c>
      <c r="N107">
        <f t="shared" si="3"/>
        <v>68</v>
      </c>
      <c r="O107">
        <f t="shared" si="4"/>
        <v>7</v>
      </c>
    </row>
    <row r="108" spans="1:16" x14ac:dyDescent="0.45">
      <c r="A108" t="s">
        <v>118</v>
      </c>
      <c r="B108" t="s">
        <v>236</v>
      </c>
      <c r="C108" t="s">
        <v>254</v>
      </c>
      <c r="D108" t="s">
        <v>256</v>
      </c>
      <c r="E108" t="s">
        <v>263</v>
      </c>
      <c r="F108">
        <v>2</v>
      </c>
      <c r="G108">
        <v>1</v>
      </c>
      <c r="H108">
        <v>3</v>
      </c>
      <c r="L108">
        <v>4.38</v>
      </c>
      <c r="M108">
        <f t="shared" si="5"/>
        <v>0.438</v>
      </c>
      <c r="N108">
        <f t="shared" si="3"/>
        <v>68</v>
      </c>
      <c r="O108">
        <f t="shared" si="4"/>
        <v>7</v>
      </c>
    </row>
    <row r="109" spans="1:16" x14ac:dyDescent="0.45">
      <c r="A109" t="s">
        <v>119</v>
      </c>
      <c r="B109" t="s">
        <v>399</v>
      </c>
      <c r="C109" t="s">
        <v>254</v>
      </c>
      <c r="D109" t="s">
        <v>255</v>
      </c>
      <c r="E109" t="s">
        <v>263</v>
      </c>
      <c r="F109">
        <v>4</v>
      </c>
      <c r="G109">
        <v>1</v>
      </c>
      <c r="H109">
        <v>5</v>
      </c>
      <c r="I109">
        <v>4</v>
      </c>
      <c r="J109">
        <v>4</v>
      </c>
      <c r="K109" t="s">
        <v>267</v>
      </c>
      <c r="L109">
        <v>4.38</v>
      </c>
      <c r="M109">
        <f t="shared" si="5"/>
        <v>0.438</v>
      </c>
      <c r="N109">
        <f t="shared" si="3"/>
        <v>68</v>
      </c>
      <c r="O109">
        <f t="shared" si="4"/>
        <v>7</v>
      </c>
    </row>
    <row r="110" spans="1:16" x14ac:dyDescent="0.45">
      <c r="A110" t="s">
        <v>120</v>
      </c>
      <c r="B110" t="s">
        <v>237</v>
      </c>
      <c r="C110" t="s">
        <v>254</v>
      </c>
      <c r="D110" t="s">
        <v>255</v>
      </c>
      <c r="E110" t="s">
        <v>264</v>
      </c>
      <c r="F110">
        <v>5</v>
      </c>
      <c r="G110">
        <v>1</v>
      </c>
      <c r="H110">
        <v>6</v>
      </c>
      <c r="I110">
        <v>7</v>
      </c>
      <c r="J110">
        <v>5</v>
      </c>
      <c r="L110">
        <v>1.04</v>
      </c>
      <c r="M110">
        <f t="shared" si="5"/>
        <v>0.10400000000000001</v>
      </c>
      <c r="N110">
        <f t="shared" si="3"/>
        <v>16</v>
      </c>
      <c r="O110">
        <f t="shared" si="4"/>
        <v>2</v>
      </c>
    </row>
    <row r="111" spans="1:16" x14ac:dyDescent="0.45">
      <c r="A111" t="s">
        <v>121</v>
      </c>
      <c r="B111" t="s">
        <v>238</v>
      </c>
      <c r="C111" t="s">
        <v>254</v>
      </c>
      <c r="D111" t="s">
        <v>256</v>
      </c>
      <c r="E111" t="s">
        <v>264</v>
      </c>
      <c r="F111">
        <v>4</v>
      </c>
      <c r="G111">
        <v>1</v>
      </c>
      <c r="H111">
        <v>5</v>
      </c>
      <c r="L111">
        <v>1.04</v>
      </c>
      <c r="M111">
        <f t="shared" si="5"/>
        <v>0.10400000000000001</v>
      </c>
      <c r="N111">
        <f t="shared" si="3"/>
        <v>16</v>
      </c>
      <c r="O111">
        <f t="shared" si="4"/>
        <v>2</v>
      </c>
    </row>
    <row r="112" spans="1:16" x14ac:dyDescent="0.45">
      <c r="A112" t="s">
        <v>122</v>
      </c>
      <c r="B112" t="s">
        <v>239</v>
      </c>
      <c r="C112" t="s">
        <v>254</v>
      </c>
      <c r="D112" t="s">
        <v>258</v>
      </c>
      <c r="E112" t="s">
        <v>264</v>
      </c>
      <c r="F112">
        <v>5</v>
      </c>
      <c r="G112">
        <v>1</v>
      </c>
      <c r="H112">
        <v>6</v>
      </c>
      <c r="I112">
        <v>5</v>
      </c>
      <c r="J112">
        <v>8</v>
      </c>
      <c r="L112">
        <v>1.04</v>
      </c>
      <c r="M112">
        <f t="shared" si="5"/>
        <v>0.10400000000000001</v>
      </c>
      <c r="N112">
        <f t="shared" si="3"/>
        <v>16</v>
      </c>
      <c r="O112">
        <f t="shared" si="4"/>
        <v>2</v>
      </c>
    </row>
    <row r="113" spans="1:16" x14ac:dyDescent="0.45">
      <c r="A113" t="s">
        <v>123</v>
      </c>
      <c r="B113" t="s">
        <v>240</v>
      </c>
      <c r="C113" t="s">
        <v>254</v>
      </c>
      <c r="D113" t="s">
        <v>257</v>
      </c>
      <c r="E113" t="s">
        <v>264</v>
      </c>
      <c r="F113">
        <v>5</v>
      </c>
      <c r="G113">
        <v>1</v>
      </c>
      <c r="H113">
        <v>6</v>
      </c>
      <c r="L113">
        <v>1.04</v>
      </c>
      <c r="M113">
        <f t="shared" si="5"/>
        <v>0.10400000000000001</v>
      </c>
      <c r="N113">
        <f t="shared" si="3"/>
        <v>16</v>
      </c>
      <c r="O113">
        <f t="shared" si="4"/>
        <v>2</v>
      </c>
    </row>
    <row r="114" spans="1:16" x14ac:dyDescent="0.45">
      <c r="A114" t="s">
        <v>124</v>
      </c>
      <c r="B114" t="s">
        <v>241</v>
      </c>
      <c r="C114" t="s">
        <v>249</v>
      </c>
      <c r="D114" t="s">
        <v>259</v>
      </c>
      <c r="E114" t="s">
        <v>266</v>
      </c>
      <c r="F114">
        <v>0</v>
      </c>
      <c r="G114">
        <v>0</v>
      </c>
      <c r="H114">
        <v>0</v>
      </c>
      <c r="K114" t="s">
        <v>268</v>
      </c>
      <c r="L114">
        <v>0.62</v>
      </c>
      <c r="M114">
        <f t="shared" si="5"/>
        <v>6.2E-2</v>
      </c>
      <c r="N114">
        <f t="shared" si="3"/>
        <v>10</v>
      </c>
      <c r="O114">
        <f t="shared" si="4"/>
        <v>1</v>
      </c>
    </row>
    <row r="115" spans="1:16" x14ac:dyDescent="0.45">
      <c r="A115" t="s">
        <v>125</v>
      </c>
      <c r="B115" t="s">
        <v>242</v>
      </c>
      <c r="C115" t="s">
        <v>250</v>
      </c>
      <c r="D115" t="s">
        <v>259</v>
      </c>
      <c r="E115" t="s">
        <v>266</v>
      </c>
      <c r="F115">
        <v>0</v>
      </c>
      <c r="G115">
        <v>0</v>
      </c>
      <c r="H115">
        <v>0</v>
      </c>
      <c r="K115" t="s">
        <v>268</v>
      </c>
      <c r="L115">
        <v>0.62</v>
      </c>
      <c r="M115">
        <f t="shared" si="5"/>
        <v>6.2E-2</v>
      </c>
      <c r="N115">
        <f t="shared" si="3"/>
        <v>10</v>
      </c>
      <c r="O115">
        <f t="shared" si="4"/>
        <v>1</v>
      </c>
    </row>
    <row r="116" spans="1:16" x14ac:dyDescent="0.45">
      <c r="A116" t="s">
        <v>126</v>
      </c>
      <c r="B116" t="s">
        <v>243</v>
      </c>
      <c r="C116" t="s">
        <v>251</v>
      </c>
      <c r="D116" t="s">
        <v>259</v>
      </c>
      <c r="E116" t="s">
        <v>266</v>
      </c>
      <c r="F116">
        <v>0</v>
      </c>
      <c r="G116">
        <v>0</v>
      </c>
      <c r="H116">
        <v>0</v>
      </c>
      <c r="K116" t="s">
        <v>268</v>
      </c>
      <c r="L116">
        <v>0.62</v>
      </c>
      <c r="M116">
        <f t="shared" si="5"/>
        <v>6.2E-2</v>
      </c>
      <c r="N116">
        <f t="shared" si="3"/>
        <v>10</v>
      </c>
      <c r="O116">
        <f t="shared" si="4"/>
        <v>1</v>
      </c>
    </row>
    <row r="117" spans="1:16" x14ac:dyDescent="0.45">
      <c r="A117" t="s">
        <v>127</v>
      </c>
      <c r="B117" t="s">
        <v>244</v>
      </c>
      <c r="C117" t="s">
        <v>252</v>
      </c>
      <c r="D117" t="s">
        <v>259</v>
      </c>
      <c r="E117" t="s">
        <v>266</v>
      </c>
      <c r="F117">
        <v>0</v>
      </c>
      <c r="G117">
        <v>0</v>
      </c>
      <c r="H117">
        <v>0</v>
      </c>
      <c r="K117" t="s">
        <v>268</v>
      </c>
      <c r="L117">
        <v>0.62</v>
      </c>
      <c r="M117">
        <f t="shared" si="5"/>
        <v>6.2E-2</v>
      </c>
      <c r="N117">
        <f t="shared" si="3"/>
        <v>10</v>
      </c>
      <c r="O117">
        <f t="shared" si="4"/>
        <v>1</v>
      </c>
    </row>
    <row r="118" spans="1:16" x14ac:dyDescent="0.45">
      <c r="A118" t="s">
        <v>128</v>
      </c>
      <c r="B118" t="s">
        <v>245</v>
      </c>
      <c r="C118" t="s">
        <v>253</v>
      </c>
      <c r="D118" t="s">
        <v>259</v>
      </c>
      <c r="E118" t="s">
        <v>266</v>
      </c>
      <c r="F118">
        <v>0</v>
      </c>
      <c r="G118">
        <v>0</v>
      </c>
      <c r="H118">
        <v>0</v>
      </c>
      <c r="K118" t="s">
        <v>268</v>
      </c>
      <c r="L118">
        <v>0.62</v>
      </c>
      <c r="M118">
        <f t="shared" si="5"/>
        <v>6.2E-2</v>
      </c>
      <c r="N118">
        <f t="shared" si="3"/>
        <v>10</v>
      </c>
      <c r="O118">
        <f t="shared" si="4"/>
        <v>1</v>
      </c>
    </row>
    <row r="119" spans="1:16" x14ac:dyDescent="0.45">
      <c r="A119" t="s">
        <v>129</v>
      </c>
      <c r="B119" t="s">
        <v>246</v>
      </c>
      <c r="C119" t="s">
        <v>254</v>
      </c>
      <c r="D119" t="s">
        <v>255</v>
      </c>
      <c r="E119" t="s">
        <v>266</v>
      </c>
      <c r="F119">
        <v>0</v>
      </c>
      <c r="G119">
        <v>0</v>
      </c>
      <c r="H119">
        <v>0</v>
      </c>
      <c r="K119" t="s">
        <v>269</v>
      </c>
      <c r="L119">
        <v>0.62</v>
      </c>
      <c r="M119">
        <f t="shared" si="5"/>
        <v>6.2E-2</v>
      </c>
      <c r="N119">
        <f t="shared" si="3"/>
        <v>10</v>
      </c>
      <c r="O119">
        <f t="shared" si="4"/>
        <v>1</v>
      </c>
    </row>
    <row r="120" spans="1:16" x14ac:dyDescent="0.45">
      <c r="A120" t="s">
        <v>130</v>
      </c>
      <c r="B120" t="s">
        <v>247</v>
      </c>
      <c r="C120" t="s">
        <v>249</v>
      </c>
      <c r="D120" t="s">
        <v>255</v>
      </c>
      <c r="E120" t="s">
        <v>266</v>
      </c>
      <c r="F120">
        <v>0</v>
      </c>
      <c r="G120">
        <v>0</v>
      </c>
      <c r="H120">
        <v>0</v>
      </c>
      <c r="K120" t="s">
        <v>269</v>
      </c>
      <c r="L120">
        <v>0.62</v>
      </c>
      <c r="M120">
        <f t="shared" si="5"/>
        <v>6.2E-2</v>
      </c>
      <c r="N120">
        <f t="shared" si="3"/>
        <v>10</v>
      </c>
      <c r="O120">
        <f t="shared" si="4"/>
        <v>1</v>
      </c>
    </row>
    <row r="121" spans="1:16" x14ac:dyDescent="0.45">
      <c r="A121" t="s">
        <v>131</v>
      </c>
      <c r="B121" t="s">
        <v>248</v>
      </c>
      <c r="C121" t="s">
        <v>253</v>
      </c>
      <c r="D121" t="s">
        <v>255</v>
      </c>
      <c r="E121" t="s">
        <v>266</v>
      </c>
      <c r="F121">
        <v>0</v>
      </c>
      <c r="G121">
        <v>0</v>
      </c>
      <c r="H121">
        <v>0</v>
      </c>
      <c r="K121" t="s">
        <v>269</v>
      </c>
      <c r="L121">
        <v>0.62</v>
      </c>
      <c r="M121">
        <f t="shared" si="5"/>
        <v>6.2E-2</v>
      </c>
      <c r="N121">
        <f>ROUNDUP(L121/0.065,0)</f>
        <v>10</v>
      </c>
      <c r="O121">
        <f t="shared" si="4"/>
        <v>1</v>
      </c>
    </row>
    <row r="122" spans="1:16" x14ac:dyDescent="0.45">
      <c r="N122">
        <f>SUM(N2:O121)</f>
        <v>18379</v>
      </c>
      <c r="O122">
        <f>N122/12</f>
        <v>1531.5833333333333</v>
      </c>
      <c r="P122">
        <f>SUM(P2:Q121)</f>
        <v>1540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
  <sheetViews>
    <sheetView workbookViewId="0"/>
  </sheetViews>
  <sheetFormatPr defaultRowHeight="14.25" x14ac:dyDescent="0.45"/>
  <sheetData>
    <row r="1" spans="1:3" x14ac:dyDescent="0.45">
      <c r="A1" s="1" t="s">
        <v>270</v>
      </c>
      <c r="B1" s="1" t="s">
        <v>271</v>
      </c>
      <c r="C1" s="1" t="s">
        <v>10</v>
      </c>
    </row>
    <row r="2" spans="1:3" x14ac:dyDescent="0.45">
      <c r="A2" t="s">
        <v>272</v>
      </c>
      <c r="B2" t="s">
        <v>278</v>
      </c>
      <c r="C2" t="s">
        <v>284</v>
      </c>
    </row>
    <row r="3" spans="1:3" x14ac:dyDescent="0.45">
      <c r="A3" t="s">
        <v>273</v>
      </c>
      <c r="B3" t="s">
        <v>279</v>
      </c>
      <c r="C3" t="s">
        <v>285</v>
      </c>
    </row>
    <row r="4" spans="1:3" x14ac:dyDescent="0.45">
      <c r="A4" t="s">
        <v>274</v>
      </c>
      <c r="B4" t="s">
        <v>280</v>
      </c>
      <c r="C4" t="s">
        <v>286</v>
      </c>
    </row>
    <row r="5" spans="1:3" x14ac:dyDescent="0.45">
      <c r="A5" t="s">
        <v>275</v>
      </c>
      <c r="B5" t="s">
        <v>281</v>
      </c>
      <c r="C5" t="s">
        <v>287</v>
      </c>
    </row>
    <row r="6" spans="1:3" x14ac:dyDescent="0.45">
      <c r="A6" t="s">
        <v>276</v>
      </c>
      <c r="B6" t="s">
        <v>282</v>
      </c>
      <c r="C6" t="s">
        <v>288</v>
      </c>
    </row>
    <row r="7" spans="1:3" x14ac:dyDescent="0.45">
      <c r="A7" t="s">
        <v>277</v>
      </c>
      <c r="B7" t="s">
        <v>283</v>
      </c>
      <c r="C7" t="s">
        <v>289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2D1BD-F0C2-4932-AE12-196AC06AE089}">
  <dimension ref="A1:U121"/>
  <sheetViews>
    <sheetView workbookViewId="0">
      <selection activeCell="B66" sqref="B66"/>
    </sheetView>
  </sheetViews>
  <sheetFormatPr defaultRowHeight="14.25" x14ac:dyDescent="0.45"/>
  <cols>
    <col min="2" max="2" width="29.06640625" bestFit="1" customWidth="1"/>
    <col min="23" max="23" width="11.59765625" bestFit="1" customWidth="1"/>
  </cols>
  <sheetData>
    <row r="1" spans="1:21" x14ac:dyDescent="0.45">
      <c r="A1" s="1" t="s">
        <v>0</v>
      </c>
      <c r="B1" s="1" t="s">
        <v>1</v>
      </c>
      <c r="C1" s="1" t="s">
        <v>2</v>
      </c>
      <c r="D1" s="1" t="s">
        <v>3</v>
      </c>
      <c r="E1" s="1"/>
      <c r="F1" s="1"/>
      <c r="G1" s="1"/>
      <c r="H1" s="1"/>
      <c r="I1" s="1"/>
      <c r="J1" s="1"/>
      <c r="K1" s="1"/>
      <c r="L1" s="1"/>
      <c r="M1" s="1"/>
      <c r="N1" s="1"/>
      <c r="O1" s="1"/>
      <c r="P1" s="1"/>
      <c r="Q1" s="1"/>
      <c r="R1" s="1"/>
      <c r="S1" s="1"/>
      <c r="T1" s="1"/>
      <c r="U1" s="2"/>
    </row>
    <row r="2" spans="1:21" x14ac:dyDescent="0.45">
      <c r="A2" t="s">
        <v>12</v>
      </c>
      <c r="B2" t="s">
        <v>132</v>
      </c>
      <c r="C2" t="s">
        <v>249</v>
      </c>
      <c r="D2" t="s">
        <v>255</v>
      </c>
      <c r="M2" t="s">
        <v>291</v>
      </c>
    </row>
    <row r="3" spans="1:21" x14ac:dyDescent="0.45">
      <c r="A3" t="s">
        <v>13</v>
      </c>
      <c r="B3" t="s">
        <v>133</v>
      </c>
      <c r="C3" t="s">
        <v>249</v>
      </c>
      <c r="D3" t="s">
        <v>255</v>
      </c>
      <c r="M3" t="s">
        <v>292</v>
      </c>
    </row>
    <row r="4" spans="1:21" x14ac:dyDescent="0.45">
      <c r="A4" t="s">
        <v>14</v>
      </c>
      <c r="B4" t="s">
        <v>134</v>
      </c>
      <c r="C4" t="s">
        <v>249</v>
      </c>
      <c r="D4" t="s">
        <v>255</v>
      </c>
      <c r="M4" t="s">
        <v>293</v>
      </c>
    </row>
    <row r="5" spans="1:21" x14ac:dyDescent="0.45">
      <c r="A5" t="s">
        <v>15</v>
      </c>
      <c r="B5" t="s">
        <v>135</v>
      </c>
      <c r="C5" t="s">
        <v>249</v>
      </c>
      <c r="D5" t="s">
        <v>256</v>
      </c>
      <c r="M5" t="s">
        <v>294</v>
      </c>
    </row>
    <row r="6" spans="1:21" x14ac:dyDescent="0.45">
      <c r="A6" t="s">
        <v>16</v>
      </c>
      <c r="B6" t="s">
        <v>136</v>
      </c>
      <c r="C6" t="s">
        <v>249</v>
      </c>
      <c r="D6" t="s">
        <v>256</v>
      </c>
      <c r="M6" t="s">
        <v>295</v>
      </c>
    </row>
    <row r="7" spans="1:21" x14ac:dyDescent="0.45">
      <c r="A7" t="s">
        <v>17</v>
      </c>
      <c r="B7" t="s">
        <v>137</v>
      </c>
      <c r="C7" t="s">
        <v>249</v>
      </c>
      <c r="D7" t="s">
        <v>255</v>
      </c>
      <c r="M7" t="s">
        <v>296</v>
      </c>
    </row>
    <row r="8" spans="1:21" x14ac:dyDescent="0.45">
      <c r="A8" t="s">
        <v>18</v>
      </c>
      <c r="B8" t="s">
        <v>138</v>
      </c>
      <c r="C8" t="s">
        <v>249</v>
      </c>
      <c r="D8" t="s">
        <v>255</v>
      </c>
      <c r="M8" t="s">
        <v>297</v>
      </c>
    </row>
    <row r="9" spans="1:21" x14ac:dyDescent="0.45">
      <c r="A9" t="s">
        <v>19</v>
      </c>
      <c r="B9" t="s">
        <v>139</v>
      </c>
      <c r="C9" t="s">
        <v>249</v>
      </c>
      <c r="D9" t="s">
        <v>255</v>
      </c>
      <c r="M9" t="s">
        <v>298</v>
      </c>
    </row>
    <row r="10" spans="1:21" x14ac:dyDescent="0.45">
      <c r="A10" t="s">
        <v>20</v>
      </c>
      <c r="B10" t="s">
        <v>140</v>
      </c>
      <c r="C10" t="s">
        <v>249</v>
      </c>
      <c r="D10" t="s">
        <v>256</v>
      </c>
      <c r="M10" t="s">
        <v>299</v>
      </c>
    </row>
    <row r="11" spans="1:21" x14ac:dyDescent="0.45">
      <c r="A11" t="s">
        <v>21</v>
      </c>
      <c r="B11" t="s">
        <v>141</v>
      </c>
      <c r="C11" t="s">
        <v>249</v>
      </c>
      <c r="D11" t="s">
        <v>257</v>
      </c>
      <c r="M11" t="s">
        <v>300</v>
      </c>
    </row>
    <row r="12" spans="1:21" x14ac:dyDescent="0.45">
      <c r="A12" t="s">
        <v>22</v>
      </c>
      <c r="B12" t="s">
        <v>142</v>
      </c>
      <c r="C12" t="s">
        <v>249</v>
      </c>
      <c r="D12" t="s">
        <v>255</v>
      </c>
      <c r="M12" t="s">
        <v>301</v>
      </c>
    </row>
    <row r="13" spans="1:21" x14ac:dyDescent="0.45">
      <c r="A13" t="s">
        <v>23</v>
      </c>
      <c r="B13" t="s">
        <v>143</v>
      </c>
      <c r="C13" t="s">
        <v>249</v>
      </c>
      <c r="D13" t="s">
        <v>258</v>
      </c>
      <c r="M13" t="s">
        <v>302</v>
      </c>
    </row>
    <row r="14" spans="1:21" x14ac:dyDescent="0.45">
      <c r="A14" t="s">
        <v>24</v>
      </c>
      <c r="B14" t="s">
        <v>144</v>
      </c>
      <c r="C14" t="s">
        <v>249</v>
      </c>
      <c r="D14" t="s">
        <v>256</v>
      </c>
      <c r="M14" t="s">
        <v>303</v>
      </c>
    </row>
    <row r="15" spans="1:21" x14ac:dyDescent="0.45">
      <c r="A15" t="s">
        <v>25</v>
      </c>
      <c r="B15" t="s">
        <v>145</v>
      </c>
      <c r="C15" t="s">
        <v>249</v>
      </c>
      <c r="D15" t="s">
        <v>257</v>
      </c>
      <c r="M15" t="s">
        <v>304</v>
      </c>
    </row>
    <row r="16" spans="1:21" x14ac:dyDescent="0.45">
      <c r="A16" t="s">
        <v>26</v>
      </c>
      <c r="B16" t="s">
        <v>146</v>
      </c>
      <c r="C16" t="s">
        <v>249</v>
      </c>
      <c r="D16" t="s">
        <v>259</v>
      </c>
      <c r="M16" t="s">
        <v>305</v>
      </c>
    </row>
    <row r="17" spans="1:13" x14ac:dyDescent="0.45">
      <c r="A17" t="s">
        <v>27</v>
      </c>
      <c r="B17" t="s">
        <v>147</v>
      </c>
      <c r="C17" t="s">
        <v>249</v>
      </c>
      <c r="D17" t="s">
        <v>256</v>
      </c>
      <c r="M17" t="s">
        <v>306</v>
      </c>
    </row>
    <row r="18" spans="1:13" x14ac:dyDescent="0.45">
      <c r="A18" t="s">
        <v>28</v>
      </c>
      <c r="B18" t="s">
        <v>148</v>
      </c>
      <c r="C18" t="s">
        <v>249</v>
      </c>
      <c r="D18" t="s">
        <v>255</v>
      </c>
      <c r="M18" t="s">
        <v>307</v>
      </c>
    </row>
    <row r="19" spans="1:13" x14ac:dyDescent="0.45">
      <c r="A19" t="s">
        <v>29</v>
      </c>
      <c r="B19" t="s">
        <v>149</v>
      </c>
      <c r="C19" t="s">
        <v>249</v>
      </c>
      <c r="D19" t="s">
        <v>257</v>
      </c>
      <c r="M19" t="s">
        <v>308</v>
      </c>
    </row>
    <row r="20" spans="1:13" x14ac:dyDescent="0.45">
      <c r="A20" t="s">
        <v>30</v>
      </c>
      <c r="B20" t="s">
        <v>150</v>
      </c>
      <c r="C20" t="s">
        <v>249</v>
      </c>
      <c r="D20" t="s">
        <v>260</v>
      </c>
      <c r="M20" t="s">
        <v>309</v>
      </c>
    </row>
    <row r="21" spans="1:13" x14ac:dyDescent="0.45">
      <c r="A21" t="s">
        <v>31</v>
      </c>
      <c r="B21" t="s">
        <v>151</v>
      </c>
      <c r="C21" t="s">
        <v>249</v>
      </c>
      <c r="D21" t="s">
        <v>260</v>
      </c>
      <c r="M21" t="s">
        <v>310</v>
      </c>
    </row>
    <row r="22" spans="1:13" x14ac:dyDescent="0.45">
      <c r="A22" t="s">
        <v>32</v>
      </c>
      <c r="B22" t="s">
        <v>152</v>
      </c>
      <c r="C22" t="s">
        <v>250</v>
      </c>
      <c r="D22" t="s">
        <v>255</v>
      </c>
      <c r="M22" t="s">
        <v>311</v>
      </c>
    </row>
    <row r="23" spans="1:13" x14ac:dyDescent="0.45">
      <c r="A23" t="s">
        <v>33</v>
      </c>
      <c r="B23" t="s">
        <v>153</v>
      </c>
      <c r="C23" t="s">
        <v>250</v>
      </c>
      <c r="D23" t="s">
        <v>255</v>
      </c>
      <c r="M23" t="s">
        <v>312</v>
      </c>
    </row>
    <row r="24" spans="1:13" x14ac:dyDescent="0.45">
      <c r="A24" t="s">
        <v>34</v>
      </c>
      <c r="B24" t="s">
        <v>154</v>
      </c>
      <c r="C24" t="s">
        <v>250</v>
      </c>
      <c r="D24" t="s">
        <v>255</v>
      </c>
      <c r="M24" t="s">
        <v>313</v>
      </c>
    </row>
    <row r="25" spans="1:13" x14ac:dyDescent="0.45">
      <c r="A25" t="s">
        <v>35</v>
      </c>
      <c r="B25" t="s">
        <v>155</v>
      </c>
      <c r="C25" t="s">
        <v>250</v>
      </c>
      <c r="D25" t="s">
        <v>256</v>
      </c>
      <c r="M25" t="s">
        <v>314</v>
      </c>
    </row>
    <row r="26" spans="1:13" x14ac:dyDescent="0.45">
      <c r="A26" t="s">
        <v>36</v>
      </c>
      <c r="B26" t="s">
        <v>156</v>
      </c>
      <c r="C26" t="s">
        <v>250</v>
      </c>
      <c r="D26" t="s">
        <v>256</v>
      </c>
      <c r="M26" t="s">
        <v>315</v>
      </c>
    </row>
    <row r="27" spans="1:13" x14ac:dyDescent="0.45">
      <c r="A27" t="s">
        <v>37</v>
      </c>
      <c r="B27" t="s">
        <v>157</v>
      </c>
      <c r="C27" t="s">
        <v>250</v>
      </c>
      <c r="D27" t="s">
        <v>255</v>
      </c>
      <c r="M27" t="s">
        <v>316</v>
      </c>
    </row>
    <row r="28" spans="1:13" x14ac:dyDescent="0.45">
      <c r="A28" t="s">
        <v>38</v>
      </c>
      <c r="B28" t="s">
        <v>158</v>
      </c>
      <c r="C28" t="s">
        <v>250</v>
      </c>
      <c r="D28" t="s">
        <v>255</v>
      </c>
      <c r="M28" t="s">
        <v>317</v>
      </c>
    </row>
    <row r="29" spans="1:13" x14ac:dyDescent="0.45">
      <c r="A29" t="s">
        <v>39</v>
      </c>
      <c r="B29" t="s">
        <v>159</v>
      </c>
      <c r="C29" t="s">
        <v>250</v>
      </c>
      <c r="D29" t="s">
        <v>255</v>
      </c>
      <c r="M29" t="s">
        <v>318</v>
      </c>
    </row>
    <row r="30" spans="1:13" x14ac:dyDescent="0.45">
      <c r="A30" t="s">
        <v>40</v>
      </c>
      <c r="B30" t="s">
        <v>160</v>
      </c>
      <c r="C30" t="s">
        <v>250</v>
      </c>
      <c r="D30" t="s">
        <v>256</v>
      </c>
      <c r="M30" t="s">
        <v>319</v>
      </c>
    </row>
    <row r="31" spans="1:13" x14ac:dyDescent="0.45">
      <c r="A31" t="s">
        <v>41</v>
      </c>
      <c r="B31" t="s">
        <v>161</v>
      </c>
      <c r="C31" t="s">
        <v>250</v>
      </c>
      <c r="D31" t="s">
        <v>257</v>
      </c>
      <c r="M31" t="s">
        <v>320</v>
      </c>
    </row>
    <row r="32" spans="1:13" x14ac:dyDescent="0.45">
      <c r="A32" t="s">
        <v>42</v>
      </c>
      <c r="B32" t="s">
        <v>162</v>
      </c>
      <c r="C32" t="s">
        <v>250</v>
      </c>
      <c r="D32" t="s">
        <v>255</v>
      </c>
      <c r="M32" t="s">
        <v>321</v>
      </c>
    </row>
    <row r="33" spans="1:13" x14ac:dyDescent="0.45">
      <c r="A33" t="s">
        <v>43</v>
      </c>
      <c r="B33" t="s">
        <v>163</v>
      </c>
      <c r="C33" t="s">
        <v>250</v>
      </c>
      <c r="D33" t="s">
        <v>256</v>
      </c>
      <c r="M33" t="s">
        <v>322</v>
      </c>
    </row>
    <row r="34" spans="1:13" x14ac:dyDescent="0.45">
      <c r="A34" t="s">
        <v>44</v>
      </c>
      <c r="B34" t="s">
        <v>164</v>
      </c>
      <c r="C34" t="s">
        <v>250</v>
      </c>
      <c r="D34" t="s">
        <v>257</v>
      </c>
      <c r="M34" t="s">
        <v>323</v>
      </c>
    </row>
    <row r="35" spans="1:13" x14ac:dyDescent="0.45">
      <c r="A35" t="s">
        <v>45</v>
      </c>
      <c r="B35" t="s">
        <v>165</v>
      </c>
      <c r="C35" t="s">
        <v>250</v>
      </c>
      <c r="D35" t="s">
        <v>259</v>
      </c>
      <c r="M35" t="s">
        <v>324</v>
      </c>
    </row>
    <row r="36" spans="1:13" x14ac:dyDescent="0.45">
      <c r="A36" t="s">
        <v>46</v>
      </c>
      <c r="B36" t="s">
        <v>166</v>
      </c>
      <c r="C36" t="s">
        <v>250</v>
      </c>
      <c r="D36" t="s">
        <v>255</v>
      </c>
      <c r="M36" t="s">
        <v>325</v>
      </c>
    </row>
    <row r="37" spans="1:13" x14ac:dyDescent="0.45">
      <c r="A37" t="s">
        <v>47</v>
      </c>
      <c r="B37" t="s">
        <v>167</v>
      </c>
      <c r="C37" t="s">
        <v>250</v>
      </c>
      <c r="D37" t="s">
        <v>256</v>
      </c>
      <c r="M37" t="s">
        <v>326</v>
      </c>
    </row>
    <row r="38" spans="1:13" x14ac:dyDescent="0.45">
      <c r="A38" t="s">
        <v>48</v>
      </c>
      <c r="B38" t="s">
        <v>168</v>
      </c>
      <c r="C38" t="s">
        <v>250</v>
      </c>
      <c r="D38" t="s">
        <v>257</v>
      </c>
      <c r="M38" t="s">
        <v>327</v>
      </c>
    </row>
    <row r="39" spans="1:13" x14ac:dyDescent="0.45">
      <c r="A39" t="s">
        <v>49</v>
      </c>
      <c r="B39" t="s">
        <v>169</v>
      </c>
      <c r="C39" t="s">
        <v>250</v>
      </c>
      <c r="D39" t="s">
        <v>260</v>
      </c>
      <c r="M39" t="s">
        <v>328</v>
      </c>
    </row>
    <row r="40" spans="1:13" x14ac:dyDescent="0.45">
      <c r="A40" t="s">
        <v>50</v>
      </c>
      <c r="B40" t="s">
        <v>170</v>
      </c>
      <c r="C40" t="s">
        <v>250</v>
      </c>
      <c r="D40" t="s">
        <v>260</v>
      </c>
      <c r="M40" t="s">
        <v>329</v>
      </c>
    </row>
    <row r="41" spans="1:13" x14ac:dyDescent="0.45">
      <c r="A41" t="s">
        <v>51</v>
      </c>
      <c r="B41" t="s">
        <v>171</v>
      </c>
      <c r="C41" t="s">
        <v>251</v>
      </c>
      <c r="D41" t="s">
        <v>255</v>
      </c>
      <c r="M41" t="s">
        <v>330</v>
      </c>
    </row>
    <row r="42" spans="1:13" x14ac:dyDescent="0.45">
      <c r="A42" t="s">
        <v>52</v>
      </c>
      <c r="B42" t="s">
        <v>172</v>
      </c>
      <c r="C42" t="s">
        <v>251</v>
      </c>
      <c r="D42" t="s">
        <v>255</v>
      </c>
      <c r="M42" t="s">
        <v>331</v>
      </c>
    </row>
    <row r="43" spans="1:13" x14ac:dyDescent="0.45">
      <c r="A43" t="s">
        <v>53</v>
      </c>
      <c r="B43" t="s">
        <v>173</v>
      </c>
      <c r="C43" t="s">
        <v>251</v>
      </c>
      <c r="D43" t="s">
        <v>255</v>
      </c>
      <c r="M43" t="s">
        <v>332</v>
      </c>
    </row>
    <row r="44" spans="1:13" x14ac:dyDescent="0.45">
      <c r="A44" t="s">
        <v>54</v>
      </c>
      <c r="B44" t="s">
        <v>174</v>
      </c>
      <c r="C44" t="s">
        <v>251</v>
      </c>
      <c r="D44" t="s">
        <v>256</v>
      </c>
      <c r="M44" t="s">
        <v>333</v>
      </c>
    </row>
    <row r="45" spans="1:13" x14ac:dyDescent="0.45">
      <c r="A45" t="s">
        <v>55</v>
      </c>
      <c r="B45" t="s">
        <v>175</v>
      </c>
      <c r="C45" t="s">
        <v>251</v>
      </c>
      <c r="D45" t="s">
        <v>256</v>
      </c>
      <c r="M45" t="s">
        <v>334</v>
      </c>
    </row>
    <row r="46" spans="1:13" x14ac:dyDescent="0.45">
      <c r="A46" t="s">
        <v>56</v>
      </c>
      <c r="B46" t="s">
        <v>176</v>
      </c>
      <c r="C46" t="s">
        <v>251</v>
      </c>
      <c r="D46" t="s">
        <v>255</v>
      </c>
      <c r="M46" t="s">
        <v>335</v>
      </c>
    </row>
    <row r="47" spans="1:13" x14ac:dyDescent="0.45">
      <c r="A47" t="s">
        <v>57</v>
      </c>
      <c r="B47" t="s">
        <v>177</v>
      </c>
      <c r="C47" t="s">
        <v>251</v>
      </c>
      <c r="D47" t="s">
        <v>255</v>
      </c>
      <c r="M47" t="s">
        <v>336</v>
      </c>
    </row>
    <row r="48" spans="1:13" x14ac:dyDescent="0.45">
      <c r="A48" t="s">
        <v>58</v>
      </c>
      <c r="B48" t="s">
        <v>178</v>
      </c>
      <c r="C48" t="s">
        <v>251</v>
      </c>
      <c r="D48" t="s">
        <v>255</v>
      </c>
      <c r="M48" t="s">
        <v>337</v>
      </c>
    </row>
    <row r="49" spans="1:13" x14ac:dyDescent="0.45">
      <c r="A49" t="s">
        <v>59</v>
      </c>
      <c r="B49" t="s">
        <v>179</v>
      </c>
      <c r="C49" t="s">
        <v>251</v>
      </c>
      <c r="D49" t="s">
        <v>256</v>
      </c>
      <c r="M49" t="s">
        <v>338</v>
      </c>
    </row>
    <row r="50" spans="1:13" x14ac:dyDescent="0.45">
      <c r="A50" t="s">
        <v>60</v>
      </c>
      <c r="B50" t="s">
        <v>180</v>
      </c>
      <c r="C50" t="s">
        <v>251</v>
      </c>
      <c r="D50" t="s">
        <v>257</v>
      </c>
      <c r="M50" t="s">
        <v>339</v>
      </c>
    </row>
    <row r="51" spans="1:13" x14ac:dyDescent="0.45">
      <c r="A51" t="s">
        <v>61</v>
      </c>
      <c r="B51" t="s">
        <v>181</v>
      </c>
      <c r="C51" t="s">
        <v>251</v>
      </c>
      <c r="D51" t="s">
        <v>255</v>
      </c>
      <c r="M51" t="s">
        <v>340</v>
      </c>
    </row>
    <row r="52" spans="1:13" x14ac:dyDescent="0.45">
      <c r="A52" t="s">
        <v>62</v>
      </c>
      <c r="B52" t="s">
        <v>182</v>
      </c>
      <c r="C52" t="s">
        <v>251</v>
      </c>
      <c r="D52" t="s">
        <v>258</v>
      </c>
      <c r="M52" t="s">
        <v>341</v>
      </c>
    </row>
    <row r="53" spans="1:13" x14ac:dyDescent="0.45">
      <c r="A53" t="s">
        <v>63</v>
      </c>
      <c r="B53" t="s">
        <v>183</v>
      </c>
      <c r="C53" t="s">
        <v>251</v>
      </c>
      <c r="D53" t="s">
        <v>256</v>
      </c>
      <c r="M53" t="s">
        <v>342</v>
      </c>
    </row>
    <row r="54" spans="1:13" x14ac:dyDescent="0.45">
      <c r="A54" t="s">
        <v>64</v>
      </c>
      <c r="B54" t="s">
        <v>184</v>
      </c>
      <c r="C54" t="s">
        <v>251</v>
      </c>
      <c r="D54" t="s">
        <v>257</v>
      </c>
      <c r="M54" t="s">
        <v>343</v>
      </c>
    </row>
    <row r="55" spans="1:13" x14ac:dyDescent="0.45">
      <c r="A55" t="s">
        <v>65</v>
      </c>
      <c r="B55" t="s">
        <v>185</v>
      </c>
      <c r="C55" t="s">
        <v>251</v>
      </c>
      <c r="D55" t="s">
        <v>259</v>
      </c>
      <c r="M55" t="s">
        <v>344</v>
      </c>
    </row>
    <row r="56" spans="1:13" x14ac:dyDescent="0.45">
      <c r="A56" t="s">
        <v>66</v>
      </c>
      <c r="B56" t="s">
        <v>186</v>
      </c>
      <c r="C56" t="s">
        <v>251</v>
      </c>
      <c r="D56" t="s">
        <v>255</v>
      </c>
      <c r="M56" t="s">
        <v>345</v>
      </c>
    </row>
    <row r="57" spans="1:13" x14ac:dyDescent="0.45">
      <c r="A57" t="s">
        <v>67</v>
      </c>
      <c r="B57" t="s">
        <v>187</v>
      </c>
      <c r="C57" t="s">
        <v>251</v>
      </c>
      <c r="D57" t="s">
        <v>256</v>
      </c>
      <c r="M57" t="s">
        <v>346</v>
      </c>
    </row>
    <row r="58" spans="1:13" x14ac:dyDescent="0.45">
      <c r="A58" t="s">
        <v>68</v>
      </c>
      <c r="B58" t="s">
        <v>188</v>
      </c>
      <c r="C58" t="s">
        <v>251</v>
      </c>
      <c r="D58" t="s">
        <v>257</v>
      </c>
      <c r="M58" t="s">
        <v>347</v>
      </c>
    </row>
    <row r="59" spans="1:13" x14ac:dyDescent="0.45">
      <c r="A59" t="s">
        <v>69</v>
      </c>
      <c r="B59" t="s">
        <v>189</v>
      </c>
      <c r="C59" t="s">
        <v>251</v>
      </c>
      <c r="D59" t="s">
        <v>260</v>
      </c>
      <c r="M59" t="s">
        <v>348</v>
      </c>
    </row>
    <row r="60" spans="1:13" x14ac:dyDescent="0.45">
      <c r="A60" t="s">
        <v>70</v>
      </c>
      <c r="B60" t="s">
        <v>190</v>
      </c>
      <c r="C60" t="s">
        <v>251</v>
      </c>
      <c r="D60" t="s">
        <v>260</v>
      </c>
      <c r="M60" t="s">
        <v>349</v>
      </c>
    </row>
    <row r="61" spans="1:13" x14ac:dyDescent="0.45">
      <c r="A61" t="s">
        <v>71</v>
      </c>
      <c r="B61" t="s">
        <v>191</v>
      </c>
      <c r="C61" t="s">
        <v>252</v>
      </c>
      <c r="D61" t="s">
        <v>255</v>
      </c>
      <c r="M61" t="s">
        <v>350</v>
      </c>
    </row>
    <row r="62" spans="1:13" x14ac:dyDescent="0.45">
      <c r="A62" t="s">
        <v>72</v>
      </c>
      <c r="B62" t="s">
        <v>192</v>
      </c>
      <c r="C62" t="s">
        <v>252</v>
      </c>
      <c r="D62" t="s">
        <v>255</v>
      </c>
      <c r="M62" t="s">
        <v>351</v>
      </c>
    </row>
    <row r="63" spans="1:13" x14ac:dyDescent="0.45">
      <c r="A63" t="s">
        <v>73</v>
      </c>
      <c r="B63" t="s">
        <v>193</v>
      </c>
      <c r="C63" t="s">
        <v>252</v>
      </c>
      <c r="D63" t="s">
        <v>255</v>
      </c>
      <c r="M63" t="s">
        <v>352</v>
      </c>
    </row>
    <row r="64" spans="1:13" x14ac:dyDescent="0.45">
      <c r="A64" t="s">
        <v>74</v>
      </c>
      <c r="B64" t="s">
        <v>194</v>
      </c>
      <c r="C64" t="s">
        <v>252</v>
      </c>
      <c r="D64" t="s">
        <v>256</v>
      </c>
      <c r="M64" t="s">
        <v>353</v>
      </c>
    </row>
    <row r="65" spans="1:13" x14ac:dyDescent="0.45">
      <c r="A65" t="s">
        <v>75</v>
      </c>
      <c r="B65" t="s">
        <v>195</v>
      </c>
      <c r="C65" t="s">
        <v>252</v>
      </c>
      <c r="D65" t="s">
        <v>256</v>
      </c>
      <c r="M65" t="s">
        <v>354</v>
      </c>
    </row>
    <row r="66" spans="1:13" x14ac:dyDescent="0.45">
      <c r="A66" t="s">
        <v>76</v>
      </c>
      <c r="B66" t="s">
        <v>413</v>
      </c>
      <c r="C66" t="s">
        <v>252</v>
      </c>
      <c r="D66" t="s">
        <v>255</v>
      </c>
      <c r="M66" t="s">
        <v>355</v>
      </c>
    </row>
    <row r="67" spans="1:13" x14ac:dyDescent="0.45">
      <c r="A67" t="s">
        <v>77</v>
      </c>
      <c r="B67" t="s">
        <v>196</v>
      </c>
      <c r="C67" t="s">
        <v>252</v>
      </c>
      <c r="D67" t="s">
        <v>255</v>
      </c>
      <c r="M67" t="s">
        <v>356</v>
      </c>
    </row>
    <row r="68" spans="1:13" x14ac:dyDescent="0.45">
      <c r="A68" t="s">
        <v>78</v>
      </c>
      <c r="B68" t="s">
        <v>197</v>
      </c>
      <c r="C68" t="s">
        <v>252</v>
      </c>
      <c r="D68" t="s">
        <v>255</v>
      </c>
      <c r="M68" t="s">
        <v>357</v>
      </c>
    </row>
    <row r="69" spans="1:13" x14ac:dyDescent="0.45">
      <c r="A69" t="s">
        <v>79</v>
      </c>
      <c r="B69" t="s">
        <v>198</v>
      </c>
      <c r="C69" t="s">
        <v>252</v>
      </c>
      <c r="D69" t="s">
        <v>256</v>
      </c>
      <c r="M69" t="s">
        <v>358</v>
      </c>
    </row>
    <row r="70" spans="1:13" x14ac:dyDescent="0.45">
      <c r="A70" t="s">
        <v>80</v>
      </c>
      <c r="B70" t="s">
        <v>199</v>
      </c>
      <c r="C70" t="s">
        <v>252</v>
      </c>
      <c r="D70" t="s">
        <v>257</v>
      </c>
      <c r="M70" t="s">
        <v>359</v>
      </c>
    </row>
    <row r="71" spans="1:13" x14ac:dyDescent="0.45">
      <c r="A71" t="s">
        <v>81</v>
      </c>
      <c r="B71" t="s">
        <v>200</v>
      </c>
      <c r="C71" t="s">
        <v>252</v>
      </c>
      <c r="D71" t="s">
        <v>255</v>
      </c>
      <c r="M71" t="s">
        <v>360</v>
      </c>
    </row>
    <row r="72" spans="1:13" x14ac:dyDescent="0.45">
      <c r="A72" t="s">
        <v>82</v>
      </c>
      <c r="B72" t="s">
        <v>201</v>
      </c>
      <c r="C72" t="s">
        <v>252</v>
      </c>
      <c r="D72" t="s">
        <v>258</v>
      </c>
      <c r="M72" t="s">
        <v>361</v>
      </c>
    </row>
    <row r="73" spans="1:13" x14ac:dyDescent="0.45">
      <c r="A73" t="s">
        <v>83</v>
      </c>
      <c r="B73" t="s">
        <v>202</v>
      </c>
      <c r="C73" t="s">
        <v>252</v>
      </c>
      <c r="D73" t="s">
        <v>256</v>
      </c>
      <c r="M73" t="s">
        <v>362</v>
      </c>
    </row>
    <row r="74" spans="1:13" x14ac:dyDescent="0.45">
      <c r="A74" t="s">
        <v>84</v>
      </c>
      <c r="B74" t="s">
        <v>203</v>
      </c>
      <c r="C74" t="s">
        <v>252</v>
      </c>
      <c r="D74" t="s">
        <v>257</v>
      </c>
      <c r="M74" t="s">
        <v>363</v>
      </c>
    </row>
    <row r="75" spans="1:13" x14ac:dyDescent="0.45">
      <c r="A75" t="s">
        <v>85</v>
      </c>
      <c r="B75" t="s">
        <v>204</v>
      </c>
      <c r="C75" t="s">
        <v>252</v>
      </c>
      <c r="D75" t="s">
        <v>259</v>
      </c>
      <c r="M75" t="s">
        <v>364</v>
      </c>
    </row>
    <row r="76" spans="1:13" x14ac:dyDescent="0.45">
      <c r="A76" t="s">
        <v>86</v>
      </c>
      <c r="B76" t="s">
        <v>205</v>
      </c>
      <c r="C76" t="s">
        <v>252</v>
      </c>
      <c r="D76" t="s">
        <v>255</v>
      </c>
      <c r="M76" t="s">
        <v>365</v>
      </c>
    </row>
    <row r="77" spans="1:13" x14ac:dyDescent="0.45">
      <c r="A77" t="s">
        <v>87</v>
      </c>
      <c r="B77" t="s">
        <v>206</v>
      </c>
      <c r="C77" t="s">
        <v>252</v>
      </c>
      <c r="D77" t="s">
        <v>256</v>
      </c>
      <c r="M77" t="s">
        <v>366</v>
      </c>
    </row>
    <row r="78" spans="1:13" x14ac:dyDescent="0.45">
      <c r="A78" t="s">
        <v>88</v>
      </c>
      <c r="B78" t="s">
        <v>207</v>
      </c>
      <c r="C78" t="s">
        <v>252</v>
      </c>
      <c r="D78" t="s">
        <v>257</v>
      </c>
      <c r="M78" t="s">
        <v>367</v>
      </c>
    </row>
    <row r="79" spans="1:13" x14ac:dyDescent="0.45">
      <c r="A79" t="s">
        <v>89</v>
      </c>
      <c r="B79" t="s">
        <v>208</v>
      </c>
      <c r="C79" t="s">
        <v>252</v>
      </c>
      <c r="D79" t="s">
        <v>260</v>
      </c>
      <c r="M79" t="s">
        <v>368</v>
      </c>
    </row>
    <row r="80" spans="1:13" x14ac:dyDescent="0.45">
      <c r="A80" t="s">
        <v>90</v>
      </c>
      <c r="B80" t="s">
        <v>209</v>
      </c>
      <c r="C80" t="s">
        <v>252</v>
      </c>
      <c r="D80" t="s">
        <v>260</v>
      </c>
      <c r="M80" t="s">
        <v>369</v>
      </c>
    </row>
    <row r="81" spans="1:13" x14ac:dyDescent="0.45">
      <c r="A81" t="s">
        <v>91</v>
      </c>
      <c r="B81" t="s">
        <v>210</v>
      </c>
      <c r="C81" t="s">
        <v>253</v>
      </c>
      <c r="D81" t="s">
        <v>255</v>
      </c>
      <c r="M81" t="s">
        <v>370</v>
      </c>
    </row>
    <row r="82" spans="1:13" x14ac:dyDescent="0.45">
      <c r="A82" t="s">
        <v>92</v>
      </c>
      <c r="B82" t="s">
        <v>211</v>
      </c>
      <c r="C82" t="s">
        <v>253</v>
      </c>
      <c r="D82" t="s">
        <v>255</v>
      </c>
      <c r="M82" t="s">
        <v>371</v>
      </c>
    </row>
    <row r="83" spans="1:13" x14ac:dyDescent="0.45">
      <c r="A83" t="s">
        <v>93</v>
      </c>
      <c r="B83" t="s">
        <v>212</v>
      </c>
      <c r="C83" t="s">
        <v>253</v>
      </c>
      <c r="D83" t="s">
        <v>255</v>
      </c>
      <c r="M83" t="s">
        <v>372</v>
      </c>
    </row>
    <row r="84" spans="1:13" x14ac:dyDescent="0.45">
      <c r="A84" t="s">
        <v>94</v>
      </c>
      <c r="B84" t="s">
        <v>213</v>
      </c>
      <c r="C84" t="s">
        <v>253</v>
      </c>
      <c r="D84" t="s">
        <v>256</v>
      </c>
      <c r="M84" t="s">
        <v>373</v>
      </c>
    </row>
    <row r="85" spans="1:13" x14ac:dyDescent="0.45">
      <c r="A85" t="s">
        <v>95</v>
      </c>
      <c r="B85" t="s">
        <v>214</v>
      </c>
      <c r="C85" t="s">
        <v>253</v>
      </c>
      <c r="D85" t="s">
        <v>256</v>
      </c>
      <c r="M85" t="s">
        <v>374</v>
      </c>
    </row>
    <row r="86" spans="1:13" x14ac:dyDescent="0.45">
      <c r="A86" t="s">
        <v>96</v>
      </c>
      <c r="B86" t="s">
        <v>215</v>
      </c>
      <c r="C86" t="s">
        <v>253</v>
      </c>
      <c r="D86" t="s">
        <v>255</v>
      </c>
      <c r="M86" t="s">
        <v>375</v>
      </c>
    </row>
    <row r="87" spans="1:13" x14ac:dyDescent="0.45">
      <c r="A87" t="s">
        <v>97</v>
      </c>
      <c r="B87" t="s">
        <v>216</v>
      </c>
      <c r="C87" t="s">
        <v>253</v>
      </c>
      <c r="D87" t="s">
        <v>255</v>
      </c>
      <c r="M87" t="s">
        <v>376</v>
      </c>
    </row>
    <row r="88" spans="1:13" x14ac:dyDescent="0.45">
      <c r="A88" t="s">
        <v>98</v>
      </c>
      <c r="B88" t="s">
        <v>217</v>
      </c>
      <c r="C88" t="s">
        <v>253</v>
      </c>
      <c r="D88" t="s">
        <v>255</v>
      </c>
      <c r="M88" t="s">
        <v>377</v>
      </c>
    </row>
    <row r="89" spans="1:13" x14ac:dyDescent="0.45">
      <c r="A89" t="s">
        <v>99</v>
      </c>
      <c r="B89" t="s">
        <v>218</v>
      </c>
      <c r="C89" t="s">
        <v>253</v>
      </c>
      <c r="D89" t="s">
        <v>256</v>
      </c>
      <c r="M89" t="s">
        <v>378</v>
      </c>
    </row>
    <row r="90" spans="1:13" x14ac:dyDescent="0.45">
      <c r="A90" t="s">
        <v>100</v>
      </c>
      <c r="B90" t="s">
        <v>219</v>
      </c>
      <c r="C90" t="s">
        <v>253</v>
      </c>
      <c r="D90" t="s">
        <v>257</v>
      </c>
      <c r="M90" t="s">
        <v>379</v>
      </c>
    </row>
    <row r="91" spans="1:13" x14ac:dyDescent="0.45">
      <c r="A91" t="s">
        <v>101</v>
      </c>
      <c r="B91" t="s">
        <v>220</v>
      </c>
      <c r="C91" t="s">
        <v>253</v>
      </c>
      <c r="D91" t="s">
        <v>255</v>
      </c>
      <c r="M91" t="s">
        <v>380</v>
      </c>
    </row>
    <row r="92" spans="1:13" x14ac:dyDescent="0.45">
      <c r="A92" t="s">
        <v>102</v>
      </c>
      <c r="B92" t="s">
        <v>221</v>
      </c>
      <c r="C92" t="s">
        <v>253</v>
      </c>
      <c r="D92" t="s">
        <v>258</v>
      </c>
      <c r="M92" t="s">
        <v>381</v>
      </c>
    </row>
    <row r="93" spans="1:13" x14ac:dyDescent="0.45">
      <c r="A93" t="s">
        <v>103</v>
      </c>
      <c r="B93" t="s">
        <v>222</v>
      </c>
      <c r="C93" t="s">
        <v>253</v>
      </c>
      <c r="D93" t="s">
        <v>256</v>
      </c>
      <c r="M93" t="s">
        <v>382</v>
      </c>
    </row>
    <row r="94" spans="1:13" x14ac:dyDescent="0.45">
      <c r="A94" t="s">
        <v>104</v>
      </c>
      <c r="B94" t="s">
        <v>223</v>
      </c>
      <c r="C94" t="s">
        <v>253</v>
      </c>
      <c r="D94" t="s">
        <v>257</v>
      </c>
      <c r="M94" t="s">
        <v>383</v>
      </c>
    </row>
    <row r="95" spans="1:13" x14ac:dyDescent="0.45">
      <c r="A95" t="s">
        <v>105</v>
      </c>
      <c r="B95" t="s">
        <v>224</v>
      </c>
      <c r="C95" t="s">
        <v>253</v>
      </c>
      <c r="D95" t="s">
        <v>259</v>
      </c>
      <c r="M95" t="s">
        <v>384</v>
      </c>
    </row>
    <row r="96" spans="1:13" x14ac:dyDescent="0.45">
      <c r="A96" t="s">
        <v>106</v>
      </c>
      <c r="B96" t="s">
        <v>225</v>
      </c>
      <c r="C96" t="s">
        <v>253</v>
      </c>
      <c r="D96" t="s">
        <v>255</v>
      </c>
      <c r="M96" t="s">
        <v>385</v>
      </c>
    </row>
    <row r="97" spans="1:13" x14ac:dyDescent="0.45">
      <c r="A97" t="s">
        <v>107</v>
      </c>
      <c r="B97" t="s">
        <v>226</v>
      </c>
      <c r="C97" t="s">
        <v>253</v>
      </c>
      <c r="D97" t="s">
        <v>256</v>
      </c>
      <c r="M97" t="s">
        <v>386</v>
      </c>
    </row>
    <row r="98" spans="1:13" x14ac:dyDescent="0.45">
      <c r="A98" t="s">
        <v>108</v>
      </c>
      <c r="B98" t="s">
        <v>227</v>
      </c>
      <c r="C98" t="s">
        <v>253</v>
      </c>
      <c r="D98" t="s">
        <v>257</v>
      </c>
      <c r="M98" t="s">
        <v>387</v>
      </c>
    </row>
    <row r="99" spans="1:13" x14ac:dyDescent="0.45">
      <c r="A99" t="s">
        <v>109</v>
      </c>
      <c r="B99" t="s">
        <v>228</v>
      </c>
      <c r="C99" t="s">
        <v>253</v>
      </c>
      <c r="D99" t="s">
        <v>260</v>
      </c>
      <c r="M99" t="s">
        <v>388</v>
      </c>
    </row>
    <row r="100" spans="1:13" x14ac:dyDescent="0.45">
      <c r="A100" t="s">
        <v>110</v>
      </c>
      <c r="B100" t="s">
        <v>229</v>
      </c>
      <c r="C100" t="s">
        <v>253</v>
      </c>
      <c r="D100" t="s">
        <v>260</v>
      </c>
      <c r="M100" t="s">
        <v>389</v>
      </c>
    </row>
    <row r="101" spans="1:13" x14ac:dyDescent="0.45">
      <c r="A101" t="s">
        <v>111</v>
      </c>
      <c r="B101" t="s">
        <v>230</v>
      </c>
      <c r="C101" t="s">
        <v>254</v>
      </c>
      <c r="D101" t="s">
        <v>255</v>
      </c>
      <c r="M101" t="s">
        <v>390</v>
      </c>
    </row>
    <row r="102" spans="1:13" x14ac:dyDescent="0.45">
      <c r="A102" t="s">
        <v>112</v>
      </c>
      <c r="B102" t="s">
        <v>231</v>
      </c>
      <c r="C102" t="s">
        <v>254</v>
      </c>
      <c r="D102" t="s">
        <v>256</v>
      </c>
      <c r="M102" t="s">
        <v>391</v>
      </c>
    </row>
    <row r="103" spans="1:13" x14ac:dyDescent="0.45">
      <c r="A103" t="s">
        <v>113</v>
      </c>
      <c r="B103" t="s">
        <v>232</v>
      </c>
      <c r="C103" t="s">
        <v>254</v>
      </c>
      <c r="D103" t="s">
        <v>258</v>
      </c>
      <c r="M103" t="s">
        <v>392</v>
      </c>
    </row>
    <row r="104" spans="1:13" x14ac:dyDescent="0.45">
      <c r="A104" t="s">
        <v>114</v>
      </c>
      <c r="B104" t="s">
        <v>233</v>
      </c>
      <c r="C104" t="s">
        <v>254</v>
      </c>
      <c r="D104" t="s">
        <v>255</v>
      </c>
      <c r="M104" t="s">
        <v>393</v>
      </c>
    </row>
    <row r="105" spans="1:13" x14ac:dyDescent="0.45">
      <c r="A105" t="s">
        <v>115</v>
      </c>
      <c r="B105" t="s">
        <v>234</v>
      </c>
      <c r="C105" t="s">
        <v>254</v>
      </c>
      <c r="D105" t="s">
        <v>256</v>
      </c>
      <c r="M105" t="s">
        <v>394</v>
      </c>
    </row>
    <row r="106" spans="1:13" x14ac:dyDescent="0.45">
      <c r="A106" t="s">
        <v>116</v>
      </c>
      <c r="B106" t="s">
        <v>396</v>
      </c>
      <c r="C106" t="s">
        <v>254</v>
      </c>
      <c r="D106" t="s">
        <v>255</v>
      </c>
      <c r="M106" t="s">
        <v>395</v>
      </c>
    </row>
    <row r="107" spans="1:13" x14ac:dyDescent="0.45">
      <c r="A107" t="s">
        <v>117</v>
      </c>
      <c r="B107" t="s">
        <v>235</v>
      </c>
      <c r="C107" t="s">
        <v>254</v>
      </c>
      <c r="D107" t="s">
        <v>255</v>
      </c>
      <c r="M107" t="s">
        <v>397</v>
      </c>
    </row>
    <row r="108" spans="1:13" x14ac:dyDescent="0.45">
      <c r="A108" t="s">
        <v>118</v>
      </c>
      <c r="B108" t="s">
        <v>236</v>
      </c>
      <c r="C108" t="s">
        <v>254</v>
      </c>
      <c r="D108" t="s">
        <v>256</v>
      </c>
      <c r="M108" t="s">
        <v>398</v>
      </c>
    </row>
    <row r="109" spans="1:13" x14ac:dyDescent="0.45">
      <c r="A109" t="s">
        <v>119</v>
      </c>
      <c r="B109" t="s">
        <v>399</v>
      </c>
      <c r="C109" t="s">
        <v>254</v>
      </c>
      <c r="D109" t="s">
        <v>255</v>
      </c>
      <c r="M109" t="s">
        <v>400</v>
      </c>
    </row>
    <row r="110" spans="1:13" x14ac:dyDescent="0.45">
      <c r="A110" t="s">
        <v>120</v>
      </c>
      <c r="B110" t="s">
        <v>237</v>
      </c>
      <c r="C110" t="s">
        <v>254</v>
      </c>
      <c r="D110" t="s">
        <v>255</v>
      </c>
      <c r="M110" t="s">
        <v>401</v>
      </c>
    </row>
    <row r="111" spans="1:13" x14ac:dyDescent="0.45">
      <c r="A111" t="s">
        <v>121</v>
      </c>
      <c r="B111" t="s">
        <v>238</v>
      </c>
      <c r="C111" t="s">
        <v>254</v>
      </c>
      <c r="D111" t="s">
        <v>256</v>
      </c>
      <c r="M111" t="s">
        <v>402</v>
      </c>
    </row>
    <row r="112" spans="1:13" x14ac:dyDescent="0.45">
      <c r="A112" t="s">
        <v>122</v>
      </c>
      <c r="B112" t="s">
        <v>239</v>
      </c>
      <c r="C112" t="s">
        <v>254</v>
      </c>
      <c r="D112" t="s">
        <v>258</v>
      </c>
      <c r="M112" t="s">
        <v>403</v>
      </c>
    </row>
    <row r="113" spans="1:13" x14ac:dyDescent="0.45">
      <c r="A113" t="s">
        <v>123</v>
      </c>
      <c r="B113" t="s">
        <v>240</v>
      </c>
      <c r="C113" t="s">
        <v>254</v>
      </c>
      <c r="D113" t="s">
        <v>257</v>
      </c>
      <c r="M113" t="s">
        <v>404</v>
      </c>
    </row>
    <row r="114" spans="1:13" x14ac:dyDescent="0.45">
      <c r="A114" t="s">
        <v>124</v>
      </c>
      <c r="B114" t="s">
        <v>241</v>
      </c>
      <c r="C114" t="s">
        <v>249</v>
      </c>
      <c r="D114" t="s">
        <v>259</v>
      </c>
      <c r="M114" t="s">
        <v>405</v>
      </c>
    </row>
    <row r="115" spans="1:13" x14ac:dyDescent="0.45">
      <c r="A115" t="s">
        <v>125</v>
      </c>
      <c r="B115" t="s">
        <v>242</v>
      </c>
      <c r="C115" t="s">
        <v>250</v>
      </c>
      <c r="D115" t="s">
        <v>259</v>
      </c>
      <c r="M115" t="s">
        <v>406</v>
      </c>
    </row>
    <row r="116" spans="1:13" x14ac:dyDescent="0.45">
      <c r="A116" t="s">
        <v>126</v>
      </c>
      <c r="B116" t="s">
        <v>243</v>
      </c>
      <c r="C116" t="s">
        <v>251</v>
      </c>
      <c r="D116" t="s">
        <v>259</v>
      </c>
      <c r="M116" t="s">
        <v>407</v>
      </c>
    </row>
    <row r="117" spans="1:13" x14ac:dyDescent="0.45">
      <c r="A117" t="s">
        <v>127</v>
      </c>
      <c r="B117" t="s">
        <v>244</v>
      </c>
      <c r="C117" t="s">
        <v>252</v>
      </c>
      <c r="D117" t="s">
        <v>259</v>
      </c>
      <c r="M117" t="s">
        <v>408</v>
      </c>
    </row>
    <row r="118" spans="1:13" x14ac:dyDescent="0.45">
      <c r="A118" t="s">
        <v>128</v>
      </c>
      <c r="B118" t="s">
        <v>245</v>
      </c>
      <c r="C118" t="s">
        <v>253</v>
      </c>
      <c r="D118" t="s">
        <v>259</v>
      </c>
      <c r="M118" t="s">
        <v>409</v>
      </c>
    </row>
    <row r="119" spans="1:13" x14ac:dyDescent="0.45">
      <c r="A119" t="s">
        <v>129</v>
      </c>
      <c r="B119" t="s">
        <v>246</v>
      </c>
      <c r="C119" t="s">
        <v>254</v>
      </c>
      <c r="D119" t="s">
        <v>255</v>
      </c>
      <c r="M119" t="s">
        <v>410</v>
      </c>
    </row>
    <row r="120" spans="1:13" x14ac:dyDescent="0.45">
      <c r="A120" t="s">
        <v>130</v>
      </c>
      <c r="B120" t="s">
        <v>247</v>
      </c>
      <c r="C120" t="s">
        <v>249</v>
      </c>
      <c r="D120" t="s">
        <v>255</v>
      </c>
      <c r="M120" t="s">
        <v>411</v>
      </c>
    </row>
    <row r="121" spans="1:13" x14ac:dyDescent="0.45">
      <c r="A121" t="s">
        <v>131</v>
      </c>
      <c r="B121" t="s">
        <v>248</v>
      </c>
      <c r="C121" t="s">
        <v>253</v>
      </c>
      <c r="D121" t="s">
        <v>255</v>
      </c>
      <c r="M121" t="s">
        <v>412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Master Set v1</vt:lpstr>
      <vt:lpstr>Probabilities</vt:lpstr>
      <vt:lpstr>Artists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Pekka Marjamäki</cp:lastModifiedBy>
  <dcterms:created xsi:type="dcterms:W3CDTF">2025-11-12T14:57:32Z</dcterms:created>
  <dcterms:modified xsi:type="dcterms:W3CDTF">2025-11-16T13:00:00Z</dcterms:modified>
</cp:coreProperties>
</file>